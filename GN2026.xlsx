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kheopst-my.sharepoint.com/personal/sebastien_dury_kheops_ch/Documents/PERSO/GN/2026/"/>
    </mc:Choice>
  </mc:AlternateContent>
  <xr:revisionPtr revIDLastSave="16" documentId="11_E457DAAD9001DFF715B2A1BB6D48F46200990365" xr6:coauthVersionLast="47" xr6:coauthVersionMax="47" xr10:uidLastSave="{B4AC160C-F996-4947-92DC-28D1EE324130}"/>
  <bookViews>
    <workbookView xWindow="-225" yWindow="-18300" windowWidth="28905" windowHeight="15240" xr2:uid="{00000000-000D-0000-FFFF-FFFF00000000}"/>
  </bookViews>
  <sheets>
    <sheet name="Intrigues générales" sheetId="1" r:id="rId1"/>
    <sheet name="Feuil2" sheetId="2" r:id="rId2"/>
    <sheet name="Reste à régle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dGJQ+KYS5oTuqwrfqG0WwT0svw9BIiDe1ylND/XbW1c="/>
    </ext>
  </extLst>
</workbook>
</file>

<file path=xl/calcChain.xml><?xml version="1.0" encoding="utf-8"?>
<calcChain xmlns="http://schemas.openxmlformats.org/spreadsheetml/2006/main">
  <c r="B19" i="2" l="1"/>
  <c r="E46" i="1"/>
  <c r="E24" i="1"/>
  <c r="E17" i="1"/>
  <c r="E8" i="1"/>
</calcChain>
</file>

<file path=xl/sharedStrings.xml><?xml version="1.0" encoding="utf-8"?>
<sst xmlns="http://schemas.openxmlformats.org/spreadsheetml/2006/main" count="371" uniqueCount="84">
  <si>
    <t>Banquiers</t>
  </si>
  <si>
    <t>Seb</t>
  </si>
  <si>
    <t>Trafiquent les comptes, acceptent de cacher des choses dans leur banque, doivent rendre des comptes.
Milice privée : Détournent de l'argent et des biens, cachent des choses pour le compte de la Mafia, protègent l'accès aux coffres</t>
  </si>
  <si>
    <t>X</t>
  </si>
  <si>
    <t>Gérants du Casino</t>
  </si>
  <si>
    <t>Blanchissent de l'argent pour la mafia, viennent développer leur business (casino) dans les 4 autres îles, ont besoin de placer la recette des jours précédents. Ils ont beaucoup de liquide sur eux…</t>
  </si>
  <si>
    <t>Mafia</t>
  </si>
  <si>
    <t>Groupe de voleurs 1</t>
  </si>
  <si>
    <t>Laurent</t>
  </si>
  <si>
    <t>Viennent faire le casse du siècle, sous couverture de venir au congrès</t>
  </si>
  <si>
    <t>Groupe de voleurs 2</t>
  </si>
  <si>
    <t>Christophe</t>
  </si>
  <si>
    <t xml:space="preserve">Groupe de Voleurs Les corbeaux de minuit
Ils rêvent depuis longtemps de faire le casse du siècle en dévalisant la fameuse et réputée inviolable banque d’Il Irion. Si les rumeurs sont vraies, après un tel casse leur avenir et leur richesse est assuré.
La salle des coffres de la banque est située dans une grotte souterraine qui s’inonde naturellement avec les marées.
Les voleurs connaissent ce phénomène de sécurité qui inonde la salle des coffre tous les soirs pour la nuit entière et ne se vide qu’au matin. Ce mécanisme est censé garantir une sécurité absolue pour les richesses gardées dans les coffres de cette banque.
Ils veulent justement profiter de prétendue sécurité pour opérer la nuit car ils pensent que les gardes seront moins présents.
En plus ils ont choisi le soir de la cérémonie d’ouverture du congrès des 5 cités, où tous seront accaparés par les festivités, leur assurant ainsi une plus grande tranquillité.
Dans tous les cas, s’il ils ne réussissaient pas à faire leur casse la nuit, ils ont un plan B :  le lendemain la salle des coffres va se vider avec la marée et il sera plus facile d’opérer à l’intérieur.
Cependant, les voleurs vont être informé à leur arrivée, par leur informateur sur place que, il y a quelques jours, une explosion a été entendue à l’extérieur de la forteresse et que, depuis, la grotte où se trouvent les coffres ne se vide plus avec la marée, et qu’elle reste complètement inondée en permanence.
Comment entrer dans grotte de la salle des coffres :
Deux solides grilles interdisent l’accès à la grotte souterraine des coffres.
Pour ouvrir les deux verrous de ces deux grilles il y a plusieurs solutions :
1.	Avoir les clés qui permettent de les ouvrir
2.	Les forcer en utilisant un sort alchimique qui permet d’injecter dans la serrure un acide spécial qui détruit le verrou.
Concernant les clés des deux verrous :
Les clés sont cachées ou ?
Concernant les richesses de la salle des coffres :
Les richesses : plusieurs dizaines de sacs remplis d’or à ce qu’il parait. Ces sacs vont peser lourds (plusieurs kilos chacun) et il faudra trouver un moyen de les transporter et de les stocker en toute discrétion le temps de pouvoir les évacuer de la forteresse.
Ce qu’ils ne savent pas c’est qu’ils vont aussi découvrir plusieurs dizaines de coffres contenant des documents secrets et des produit alchimiques rares ou inconnus voire interdits.
Pour vider la salle des coffres, les voleurs auront plusieurs possibilités :
•	Planquer les sacs dans la forêt
•	Stocker les sacs dans un entrepôt sûr ; pour cela il faut trouver un loueur sûr et discret
•	Stocker les sacs directement dans le navire qui va leur permettre de quitter l’ile d’Il Irion. Mais peuvent ils avoir confiance dans le capitaine et l’équipage ?
Ils ont passé un contrat avec un capitaine nommé Isolde Sombrevoile, une femme rude et dure en affaire, qui est censée les embarquer à bord de l’Ombre des mers pour quitter Il Irion.
Composition du groupe (tous guerriers) :
1.	Un chef
2.	Un adjoint érudit (peut déchiffrer les parchemins)
3.	Un alchimiste (peut faire le sort d’acide)
4.	Un apnéiste (peut tenir sous l’eau 3 mn
5.	Un assassin
6.	Un Clerc (peut ouvrir une bulle pour respirer sous l’eau 3 mn)
</t>
  </si>
  <si>
    <t>Intrigue commerciale/politique/remplacement Oblat d'Arthas</t>
  </si>
  <si>
    <t>Représentants d'Il-Irion</t>
  </si>
  <si>
    <t>Eric</t>
  </si>
  <si>
    <t>Viennent échanger/négocier avec les dockers et les gilets jaunes, participent au congrès, présentent leurs services (chantiers navals, capitaines, navires marchands), viennent se plaindre à la confédération des méthodes utilisées par Ther-Félis pour leur piquer des clients</t>
  </si>
  <si>
    <t>+1 contrôleur financier, +1 représentant du service d'espionnage</t>
  </si>
  <si>
    <t>Représentants de Sfaal</t>
  </si>
  <si>
    <t xml:space="preserve">Objectifs :
Inspecter au plus vite la salle des coffres pour :
•	S’assurer de la sécurité de la salle des coffres (des rumeurs leur sont parvenues indiquant que la sécurité s’était dégradée ces derniers temps).
•	Récupérer certains documents compromettants
•	Récupérer certains produits interdits
Prendre la tête des 5 cités car ils sont les guerriers les plus forts.
Négocier ou renégocier certains accords avec les autres cités : quels accords ? quelles cités ?
Sfaal – L’Académie des Lames
Nature : puissance militaire de la Confédération.
Image : rigide, martiale, respectée mais crainte.
Faiblesses : peu de diplomates, peu d’argent, dépendance à l’acier et aux ressources d’autrui.
Conflits jouables :
•	La crise de l’acier : Palyr fournit un acier de qualité déclinante. Sfaal accuse ouvertement les forges de trahison ou d’incompétence.
•	Les gardes des coffres : Sfaal veut que les Lames assurent la sécurité des trésors d’Il-Irion, ce que cette dernière refuse catégoriquement.
•	La tentation du coup de force : certains à Sfaal estiment que la Confédération est devenue molle et corrompue ; un discours martial gagne du terrain : “Si les coffres ne sont pas sûrs, prenons-les sous notre garde.”
Axes de jeu :
•	Négociations tendues avec Palyr et Il-Irion.
•	Possibilité de scission interne entre partisans de la diplomatie et de l’action.
•	Alliances possibles avec Arthas (sécurité commune) ou menace directe sur Il-Irion.
</t>
  </si>
  <si>
    <t>Représentants de Palyr</t>
  </si>
  <si>
    <t>participent au congrès, présentent leurs services, demander des comptes à Il-Irion sur la protection des richesses de la confédération</t>
  </si>
  <si>
    <t>Représentants d'Arthas</t>
  </si>
  <si>
    <t>Viennent demander le déclenchement du pacte de solidarité et de défense commune suite au meurtre de leur oblat / viennent présenter l'oblat remplaçant, participent au congrès, présentent leurs services, demandent des comptes à Il-Irion sur la protection des richesses de la confédération</t>
  </si>
  <si>
    <t>Représentants de Ther-Félis</t>
  </si>
  <si>
    <t>Discuter de l'impôt imposé par Styrgie aux caravanes souhaitant rejoindre Ther-Félis par terre, participent au congrès, présentent leurs services, demander des comptes à Il-Irion sur la protection des richesses de la confédération</t>
  </si>
  <si>
    <t>Monstres</t>
  </si>
  <si>
    <t>Groupe étranger Mago</t>
  </si>
  <si>
    <t>Viennent affaiblir les 5 îles en libérant le monstre gardien, viennent au congrès pour couverture.</t>
  </si>
  <si>
    <t>Réveil de la bête qui voudra défendre son trésor et s'attaquer à toute personne en volant</t>
  </si>
  <si>
    <t>Groupe Mercenaires</t>
  </si>
  <si>
    <t>Druides + Rakmanoriens</t>
  </si>
  <si>
    <t>Solution Liche - Succube</t>
  </si>
  <si>
    <t>12 groupes</t>
  </si>
  <si>
    <t>Cocktail d'accueil</t>
  </si>
  <si>
    <t>Eric + Karl</t>
  </si>
  <si>
    <t>Présentation par la confédération, agenda des célébrations, présentation du gros lot par les banquiers</t>
  </si>
  <si>
    <t>Orga</t>
  </si>
  <si>
    <t>La Guilde des Navigateurs de la Confédération</t>
  </si>
  <si>
    <t>Congrès maritime</t>
  </si>
  <si>
    <t>Course-Régate à la Star Wars</t>
  </si>
  <si>
    <t>Plusieurs épreuves Koh Lanta</t>
  </si>
  <si>
    <t>Aquilea</t>
  </si>
  <si>
    <t>Viennent vérifier l'état de leur marchandise stockée (produits dangereux), viennent au congrès</t>
  </si>
  <si>
    <t>Réaction des produits dangereux avec l'eau - émanation - empoisonnement - fumigènes</t>
  </si>
  <si>
    <t>Intrigue Attentats/Grèves</t>
  </si>
  <si>
    <t>Services secrets étrangers (Thanos ?)</t>
  </si>
  <si>
    <t>Ont infiltré les dockers et les gilets jaunes, subventionnent les indépendantistes, viennent pour déclencher la phase suivante, ont fait assassiner l'oblat d'Arthas en laissant des traces accusant X</t>
  </si>
  <si>
    <t>Mouvements des gilets jaunes - Passeurs/Vigie</t>
  </si>
  <si>
    <t>Revendiquent des conditions de vie descente, viennent au congrès pour revendiquer leurs droits, bloquent l'accès aux ports</t>
  </si>
  <si>
    <t>Mouvements des dockers</t>
  </si>
  <si>
    <t>Ce sont eux qui ont pété le système d'écluse des coffres sans en faire exprès, viennent au congrès pour revendiquer leurs droits, bloquent l'accès aux ports</t>
  </si>
  <si>
    <t>Indépendantistes</t>
  </si>
  <si>
    <t>Veulent l'indépendance d'Il-Irion qui apporte plus aux autres cités que l'inverse, viennent embarquer les dockers, les gilets jaunes, les coffriers (ils sont au courant de leurs détournements de fonds), viennent repérer pour faire sauter le casino</t>
  </si>
  <si>
    <t>Services d'espionnage des îles</t>
  </si>
  <si>
    <t>Se réunissent pour échanger sur leurs soupçons et les actions à lancer, sur la mort de l'oblat d'Arthas, pour enquêter sur la destruction du système d'écluse</t>
  </si>
  <si>
    <t>Guilde des coffriers</t>
  </si>
  <si>
    <t>Mercenaires au service des coffriers</t>
  </si>
  <si>
    <t>Groupe de casseurs</t>
  </si>
  <si>
    <t>Groupe étranger 2</t>
  </si>
  <si>
    <t>Coffres</t>
  </si>
  <si>
    <t>Attentats</t>
  </si>
  <si>
    <t>Politique</t>
  </si>
  <si>
    <t>Congrès</t>
  </si>
  <si>
    <t>D</t>
  </si>
  <si>
    <t>I</t>
  </si>
  <si>
    <t>Visiteurs</t>
  </si>
  <si>
    <t>Hôtes</t>
  </si>
  <si>
    <t>?</t>
  </si>
  <si>
    <t>Exposants</t>
  </si>
  <si>
    <t>Sujets restant à régler/décider</t>
  </si>
  <si>
    <t>Date du pétage de l'évacuation des la grotte des coffre : avant le GN ou pendant ?</t>
  </si>
  <si>
    <t>Qui a fait péter l'évacuation</t>
  </si>
  <si>
    <t>Comment réparer ?</t>
  </si>
  <si>
    <t>Comment neutralise le Serpent géant ?</t>
  </si>
  <si>
    <t>Pourrait on se servir du seprent géant pour remettre en service la marée ?</t>
  </si>
  <si>
    <t>Imaginer plein de conflits + rivalités secrètes entre les 5 cités et les traduire dans des parchemins dans les coffres</t>
  </si>
  <si>
    <t>Valider les 2 verrous de la salle des coffres</t>
  </si>
  <si>
    <t>Mafia - les sangs de la steppe</t>
  </si>
  <si>
    <t xml:space="preserve">Il y a 15 ans, la République de Styrgie a créé de toute pièce l'organisation criminelle des Sangs de la Steppe dans le but de fragiliser la Confédération du Levant.
### Objectif Principal
Créer des tensions et des crises qui fragilisent la Confédération, en particulier entre les cités continentales (Arthas, Ther-Felis) et les cités insulaires (Il-Irion, Sfaal, Palyr), permettant à la Styrgie de récupérer discrètement Arthas et Ther-Felis par des moyens politiques et économiques.
### Objectifs Secondaires
- Déstabiliser le nouveau conseil de la banque d'Il-Irion par des révélations compromettantes, en favorisant les candidats pro-Styrgie d'Arthas et Ther-Felis
- Créer des tensions entre les cités de la Confédération, en particulier en exploitant les différences entre cités continentales et insulaires
- Récupérer des documents compromettants pour maintenir la pression sur les élites et favoriser les factions séparatistes
- Éliminer ou neutraliser les témoins gênants et les opposants à la réunification avec la Styrgie
- Acheter ou mettre la main sur le tripot pour être au cœur des réseaux d'information et d'influence
- Empêcher la vente d'arguethain pour affaiblir économiquement la Confédération et créer des tensions
</t>
  </si>
  <si>
    <t>Intrigues de groupe</t>
  </si>
  <si>
    <t>nb perso</t>
  </si>
  <si>
    <t>Liens et actions concrêtes avec d'autres groupes</t>
  </si>
  <si>
    <r>
      <rPr>
        <b/>
        <sz val="11"/>
        <color theme="1"/>
        <rFont val="Aptos Narrow"/>
        <family val="2"/>
        <scheme val="minor"/>
      </rPr>
      <t xml:space="preserve">#1 - la mafia </t>
    </r>
    <r>
      <rPr>
        <sz val="11"/>
        <color theme="1"/>
        <rFont val="Aptos Narrow"/>
        <family val="2"/>
        <scheme val="minor"/>
      </rPr>
      <t xml:space="preserve">cherche dans la banque 3 documents démasquant des malversations de la famille </t>
    </r>
    <r>
      <rPr>
        <b/>
        <sz val="11"/>
        <color theme="1"/>
        <rFont val="Aptos Narrow"/>
        <family val="2"/>
        <scheme val="minor"/>
      </rPr>
      <t>Valdris d'Il-iron</t>
    </r>
    <r>
      <rPr>
        <sz val="11"/>
        <color theme="1"/>
        <rFont val="Aptos Narrow"/>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</si>
</sst>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font>
    <font>
      <sz val="11"/>
      <color theme="1"/>
      <name val="Aptos Narrow"/>
      <family val="2"/>
    </font>
    <font>
      <sz val="11"/>
      <color theme="1"/>
      <name val="Arial"/>
      <family val="2"/>
    </font>
    <font>
      <b/>
      <sz val="11"/>
      <color theme="0"/>
      <name val="Aptos Narrow"/>
      <family val="2"/>
    </font>
    <font>
      <b/>
      <sz val="11"/>
      <color theme="1"/>
      <name val="Arial"/>
      <family val="2"/>
    </font>
    <font>
      <sz val="11"/>
      <color theme="1"/>
      <name val="Arial"/>
      <family val="2"/>
    </font>
    <font>
      <b/>
      <sz val="11"/>
      <color theme="1"/>
      <name val="Aptos Narrow"/>
      <family val="2"/>
      <scheme val="minor"/>
    </font>
    <font>
      <b/>
      <sz val="11"/>
      <color theme="1"/>
      <name val="Aptos Narrow"/>
      <family val="2"/>
    </font>
  </fonts>
  <fills count="6">
    <fill>
      <patternFill patternType="none"/>
    </fill>
    <fill>
      <patternFill patternType="gray125"/>
    </fill>
    <fill>
      <patternFill patternType="solid">
        <fgColor rgb="FFD9F2D0"/>
        <bgColor rgb="FFD9F2D0"/>
      </patternFill>
    </fill>
    <fill>
      <patternFill patternType="solid">
        <fgColor theme="1"/>
        <bgColor theme="1"/>
      </patternFill>
    </fill>
    <fill>
      <patternFill patternType="solid">
        <fgColor rgb="FFFFFF00"/>
        <bgColor rgb="FFFFFF00"/>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25">
    <xf numFmtId="0" fontId="0" fillId="0" borderId="0" xfId="0"/>
    <xf numFmtId="0" fontId="3" fillId="0" borderId="0" xfId="0" applyFont="1" applyAlignment="1">
      <alignment vertical="top"/>
    </xf>
    <xf numFmtId="0" fontId="4" fillId="0" borderId="0" xfId="0" applyFont="1" applyAlignment="1">
      <alignment vertical="top" wrapText="1"/>
    </xf>
    <xf numFmtId="0" fontId="5" fillId="0" borderId="0" xfId="0" applyFont="1" applyAlignment="1">
      <alignment horizontal="left" vertical="top"/>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5" fillId="0" borderId="0" xfId="0" applyFont="1" applyAlignment="1">
      <alignment vertical="top" wrapText="1"/>
    </xf>
    <xf numFmtId="0" fontId="4" fillId="0" borderId="0" xfId="0" applyFont="1" applyAlignment="1">
      <alignment horizontal="left" vertical="top"/>
    </xf>
    <xf numFmtId="0" fontId="5" fillId="0" borderId="0" xfId="0" quotePrefix="1" applyFont="1" applyAlignment="1">
      <alignment vertical="top"/>
    </xf>
    <xf numFmtId="0" fontId="7" fillId="3" borderId="1" xfId="0" applyFont="1" applyFill="1" applyBorder="1" applyAlignment="1">
      <alignment horizontal="left" vertical="top"/>
    </xf>
    <xf numFmtId="0" fontId="5" fillId="4" borderId="1" xfId="0" applyFont="1" applyFill="1" applyBorder="1" applyAlignment="1">
      <alignment horizontal="left" vertical="top"/>
    </xf>
    <xf numFmtId="0" fontId="4" fillId="0" borderId="0" xfId="0" applyFont="1"/>
    <xf numFmtId="0" fontId="5" fillId="0" borderId="0" xfId="0" applyFont="1" applyAlignment="1">
      <alignment textRotation="90"/>
    </xf>
    <xf numFmtId="0" fontId="3" fillId="0" borderId="0" xfId="0" applyFont="1"/>
    <xf numFmtId="0" fontId="5" fillId="3" borderId="1" xfId="0" applyFont="1" applyFill="1" applyBorder="1"/>
    <xf numFmtId="0" fontId="5" fillId="0" borderId="0" xfId="0" applyFont="1" applyAlignment="1">
      <alignment horizontal="center"/>
    </xf>
    <xf numFmtId="0" fontId="8" fillId="0" borderId="0" xfId="0" applyFont="1"/>
    <xf numFmtId="0" fontId="9" fillId="0" borderId="0" xfId="0" applyFont="1"/>
    <xf numFmtId="0" fontId="0" fillId="0" borderId="0" xfId="0" applyAlignment="1">
      <alignment vertical="top"/>
    </xf>
    <xf numFmtId="0" fontId="3" fillId="5" borderId="0" xfId="0" applyFont="1" applyFill="1" applyAlignment="1">
      <alignment vertical="top"/>
    </xf>
    <xf numFmtId="0" fontId="4" fillId="5" borderId="0" xfId="0" applyFont="1" applyFill="1" applyAlignment="1">
      <alignment vertical="top" wrapText="1"/>
    </xf>
    <xf numFmtId="0" fontId="11" fillId="5" borderId="0" xfId="0" applyFont="1" applyFill="1" applyAlignment="1">
      <alignment horizontal="left" vertical="top"/>
    </xf>
    <xf numFmtId="0" fontId="0" fillId="5" borderId="0" xfId="0" applyFill="1"/>
    <xf numFmtId="0" fontId="10" fillId="5" borderId="0" xfId="0" applyFont="1" applyFill="1" applyAlignment="1">
      <alignment vertical="top"/>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C1" workbookViewId="0">
      <selection activeCell="F4" sqref="F4"/>
    </sheetView>
  </sheetViews>
  <sheetFormatPr defaultColWidth="12.5703125" defaultRowHeight="15" customHeight="1" x14ac:dyDescent="0.25"/>
  <cols>
    <col min="1" max="1" width="7.5703125" customWidth="1"/>
    <col min="2" max="2" width="49.140625" customWidth="1"/>
    <col min="3" max="3" width="17.5703125" customWidth="1"/>
    <col min="4" max="4" width="94.42578125" customWidth="1"/>
    <col min="5" max="5" width="11.42578125" customWidth="1"/>
    <col min="6" max="6" width="110" customWidth="1"/>
    <col min="7" max="7" width="21" customWidth="1"/>
    <col min="8" max="26" width="10.5703125" customWidth="1"/>
  </cols>
  <sheetData>
    <row r="1" spans="1:26" s="22" customFormat="1" x14ac:dyDescent="0.25">
      <c r="A1" s="19"/>
      <c r="B1" s="19"/>
      <c r="C1" s="19"/>
      <c r="D1" s="20" t="s">
        <v>80</v>
      </c>
      <c r="E1" s="21" t="s">
        <v>81</v>
      </c>
      <c r="F1" s="23" t="s">
        <v>82</v>
      </c>
      <c r="G1" s="19"/>
      <c r="H1" s="19"/>
      <c r="I1" s="19"/>
      <c r="J1" s="19"/>
      <c r="K1" s="19"/>
      <c r="L1" s="19"/>
      <c r="M1" s="19"/>
      <c r="N1" s="19"/>
      <c r="O1" s="19"/>
      <c r="P1" s="19"/>
      <c r="Q1" s="19"/>
      <c r="R1" s="19"/>
      <c r="S1" s="19"/>
      <c r="T1" s="19"/>
      <c r="U1" s="19"/>
      <c r="V1" s="19"/>
      <c r="W1" s="19"/>
      <c r="X1" s="19"/>
      <c r="Y1" s="19"/>
      <c r="Z1" s="19"/>
    </row>
    <row r="2" spans="1:26" ht="45" x14ac:dyDescent="0.25">
      <c r="A2" s="1"/>
      <c r="B2" s="1" t="s">
        <v>0</v>
      </c>
      <c r="C2" s="1" t="s">
        <v>1</v>
      </c>
      <c r="D2" s="4" t="s">
        <v>2</v>
      </c>
      <c r="E2" s="3">
        <v>8</v>
      </c>
      <c r="F2" s="1"/>
      <c r="G2" s="1"/>
      <c r="H2" s="1"/>
      <c r="I2" s="1"/>
      <c r="J2" s="1"/>
      <c r="K2" s="1"/>
      <c r="L2" s="1"/>
      <c r="M2" s="1"/>
      <c r="N2" s="1"/>
      <c r="O2" s="1"/>
      <c r="P2" s="1"/>
      <c r="Q2" s="1"/>
      <c r="R2" s="1"/>
      <c r="S2" s="1"/>
      <c r="T2" s="1"/>
      <c r="U2" s="1"/>
      <c r="V2" s="1"/>
      <c r="W2" s="1"/>
      <c r="X2" s="1"/>
      <c r="Y2" s="1"/>
      <c r="Z2" s="1"/>
    </row>
    <row r="3" spans="1:26" ht="56.25" customHeight="1" x14ac:dyDescent="0.25">
      <c r="A3" s="1" t="s">
        <v>3</v>
      </c>
      <c r="B3" s="1" t="s">
        <v>4</v>
      </c>
      <c r="C3" s="1" t="s">
        <v>1</v>
      </c>
      <c r="D3" s="4" t="s">
        <v>5</v>
      </c>
      <c r="E3" s="3">
        <v>6</v>
      </c>
      <c r="F3" s="1"/>
      <c r="G3" s="1"/>
      <c r="H3" s="1"/>
      <c r="I3" s="1"/>
      <c r="J3" s="1"/>
      <c r="K3" s="1"/>
      <c r="L3" s="1"/>
      <c r="M3" s="1"/>
      <c r="N3" s="1"/>
      <c r="O3" s="1"/>
      <c r="P3" s="1"/>
      <c r="Q3" s="1"/>
      <c r="R3" s="1"/>
      <c r="S3" s="1"/>
      <c r="T3" s="1"/>
      <c r="U3" s="1"/>
      <c r="V3" s="1"/>
      <c r="W3" s="1"/>
      <c r="X3" s="1"/>
      <c r="Y3" s="1"/>
      <c r="Z3" s="1"/>
    </row>
    <row r="4" spans="1:26" ht="285" x14ac:dyDescent="0.25">
      <c r="A4" s="1" t="s">
        <v>3</v>
      </c>
      <c r="B4" s="18" t="s">
        <v>78</v>
      </c>
      <c r="C4" s="1" t="s">
        <v>1</v>
      </c>
      <c r="D4" s="4" t="s">
        <v>79</v>
      </c>
      <c r="E4" s="3">
        <v>6</v>
      </c>
      <c r="F4" s="24" t="s">
        <v>83</v>
      </c>
      <c r="G4" s="1"/>
      <c r="H4" s="1"/>
      <c r="I4" s="1"/>
      <c r="J4" s="1"/>
      <c r="K4" s="1"/>
      <c r="L4" s="1"/>
      <c r="M4" s="1"/>
      <c r="N4" s="1"/>
      <c r="O4" s="1"/>
      <c r="P4" s="1"/>
      <c r="Q4" s="1"/>
      <c r="R4" s="1"/>
      <c r="S4" s="1"/>
      <c r="T4" s="1"/>
      <c r="U4" s="1"/>
      <c r="V4" s="1"/>
      <c r="W4" s="1"/>
      <c r="X4" s="1"/>
      <c r="Y4" s="1"/>
      <c r="Z4" s="1"/>
    </row>
    <row r="5" spans="1:26" x14ac:dyDescent="0.25">
      <c r="A5" s="1"/>
      <c r="B5" s="1" t="s">
        <v>7</v>
      </c>
      <c r="C5" s="1" t="s">
        <v>8</v>
      </c>
      <c r="D5" s="4" t="s">
        <v>9</v>
      </c>
      <c r="E5" s="3">
        <v>6</v>
      </c>
      <c r="F5" s="1"/>
      <c r="G5" s="1"/>
      <c r="H5" s="1"/>
      <c r="I5" s="1"/>
      <c r="J5" s="1"/>
      <c r="K5" s="1"/>
      <c r="L5" s="1"/>
      <c r="M5" s="1"/>
      <c r="N5" s="1"/>
      <c r="O5" s="1"/>
      <c r="P5" s="1"/>
      <c r="Q5" s="1"/>
      <c r="R5" s="1"/>
      <c r="S5" s="1"/>
      <c r="T5" s="1"/>
      <c r="U5" s="1"/>
      <c r="V5" s="1"/>
      <c r="W5" s="1"/>
      <c r="X5" s="1"/>
      <c r="Y5" s="1"/>
      <c r="Z5" s="1"/>
    </row>
    <row r="6" spans="1:26" ht="409.5" x14ac:dyDescent="0.25">
      <c r="A6" s="1"/>
      <c r="B6" s="1" t="s">
        <v>10</v>
      </c>
      <c r="C6" s="1" t="s">
        <v>11</v>
      </c>
      <c r="D6" s="5" t="s">
        <v>12</v>
      </c>
      <c r="E6" s="3">
        <v>6</v>
      </c>
      <c r="F6" s="1"/>
      <c r="G6" s="1"/>
      <c r="H6" s="1"/>
      <c r="I6" s="1"/>
      <c r="J6" s="1"/>
      <c r="K6" s="1"/>
      <c r="L6" s="1"/>
      <c r="M6" s="1"/>
      <c r="N6" s="1"/>
      <c r="O6" s="1"/>
      <c r="P6" s="1"/>
      <c r="Q6" s="1"/>
      <c r="R6" s="1"/>
      <c r="S6" s="1"/>
      <c r="T6" s="1"/>
      <c r="U6" s="1"/>
      <c r="V6" s="1"/>
      <c r="W6" s="1"/>
      <c r="X6" s="1"/>
      <c r="Y6" s="1"/>
      <c r="Z6" s="1"/>
    </row>
    <row r="7" spans="1:26" x14ac:dyDescent="0.25">
      <c r="A7" s="1"/>
      <c r="B7" s="1"/>
      <c r="C7" s="1"/>
      <c r="D7" s="6"/>
      <c r="E7" s="3"/>
      <c r="F7" s="1"/>
      <c r="G7" s="1"/>
      <c r="H7" s="1"/>
      <c r="I7" s="1"/>
      <c r="J7" s="1"/>
      <c r="K7" s="1"/>
      <c r="L7" s="1"/>
      <c r="M7" s="1"/>
      <c r="N7" s="1"/>
      <c r="O7" s="1"/>
      <c r="P7" s="1"/>
      <c r="Q7" s="1"/>
      <c r="R7" s="1"/>
      <c r="S7" s="1"/>
      <c r="T7" s="1"/>
      <c r="U7" s="1"/>
      <c r="V7" s="1"/>
      <c r="W7" s="1"/>
      <c r="X7" s="1"/>
      <c r="Y7" s="1"/>
      <c r="Z7" s="1"/>
    </row>
    <row r="8" spans="1:26" x14ac:dyDescent="0.25">
      <c r="A8" s="1"/>
      <c r="B8" s="1"/>
      <c r="C8" s="1"/>
      <c r="D8" s="6"/>
      <c r="E8" s="7">
        <f>SUM(E2:E6)</f>
        <v>32</v>
      </c>
      <c r="F8" s="1"/>
      <c r="G8" s="1"/>
      <c r="H8" s="1"/>
      <c r="I8" s="1"/>
      <c r="J8" s="1"/>
      <c r="K8" s="1"/>
      <c r="L8" s="1"/>
      <c r="M8" s="1"/>
      <c r="N8" s="1"/>
      <c r="O8" s="1"/>
      <c r="P8" s="1"/>
      <c r="Q8" s="1"/>
      <c r="R8" s="1"/>
      <c r="S8" s="1"/>
      <c r="T8" s="1"/>
      <c r="U8" s="1"/>
      <c r="V8" s="1"/>
      <c r="W8" s="1"/>
      <c r="X8" s="1"/>
      <c r="Y8" s="1"/>
      <c r="Z8" s="1"/>
    </row>
    <row r="9" spans="1:26" x14ac:dyDescent="0.25">
      <c r="A9" s="1"/>
      <c r="B9" s="1"/>
      <c r="C9" s="1"/>
      <c r="D9" s="6"/>
      <c r="E9" s="3"/>
      <c r="F9" s="1"/>
      <c r="G9" s="1"/>
      <c r="H9" s="1"/>
      <c r="I9" s="1"/>
      <c r="J9" s="1"/>
      <c r="K9" s="1"/>
      <c r="L9" s="1"/>
      <c r="M9" s="1"/>
      <c r="N9" s="1"/>
      <c r="O9" s="1"/>
      <c r="P9" s="1"/>
      <c r="Q9" s="1"/>
      <c r="R9" s="1"/>
      <c r="S9" s="1"/>
      <c r="T9" s="1"/>
      <c r="U9" s="1"/>
      <c r="V9" s="1"/>
      <c r="W9" s="1"/>
      <c r="X9" s="1"/>
      <c r="Y9" s="1"/>
      <c r="Z9" s="1"/>
    </row>
    <row r="10" spans="1:26" x14ac:dyDescent="0.25">
      <c r="A10" s="1"/>
      <c r="B10" s="1"/>
      <c r="C10" s="1"/>
      <c r="D10" s="6"/>
      <c r="E10" s="3"/>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2" t="s">
        <v>13</v>
      </c>
      <c r="E11" s="3"/>
      <c r="F11" s="1"/>
      <c r="G11" s="1"/>
      <c r="H11" s="1"/>
      <c r="I11" s="1"/>
      <c r="J11" s="1"/>
      <c r="K11" s="1"/>
      <c r="L11" s="1"/>
      <c r="M11" s="1"/>
      <c r="N11" s="1"/>
      <c r="O11" s="1"/>
      <c r="P11" s="1"/>
      <c r="Q11" s="1"/>
      <c r="R11" s="1"/>
      <c r="S11" s="1"/>
      <c r="T11" s="1"/>
      <c r="U11" s="1"/>
      <c r="V11" s="1"/>
      <c r="W11" s="1"/>
      <c r="X11" s="1"/>
      <c r="Y11" s="1"/>
      <c r="Z11" s="1"/>
    </row>
    <row r="12" spans="1:26" ht="45" x14ac:dyDescent="0.25">
      <c r="A12" s="1"/>
      <c r="B12" s="1" t="s">
        <v>14</v>
      </c>
      <c r="C12" s="1" t="s">
        <v>15</v>
      </c>
      <c r="D12" s="4" t="s">
        <v>16</v>
      </c>
      <c r="E12" s="3">
        <v>6</v>
      </c>
      <c r="F12" s="8" t="s">
        <v>17</v>
      </c>
      <c r="G12" s="1"/>
      <c r="H12" s="1"/>
      <c r="I12" s="1"/>
      <c r="J12" s="1"/>
      <c r="K12" s="1"/>
      <c r="L12" s="1"/>
      <c r="M12" s="1"/>
      <c r="N12" s="1"/>
      <c r="O12" s="1"/>
      <c r="P12" s="1"/>
      <c r="Q12" s="1"/>
      <c r="R12" s="1"/>
      <c r="S12" s="1"/>
      <c r="T12" s="1"/>
      <c r="U12" s="1"/>
      <c r="V12" s="1"/>
      <c r="W12" s="1"/>
      <c r="X12" s="1"/>
      <c r="Y12" s="1"/>
      <c r="Z12" s="1"/>
    </row>
    <row r="13" spans="1:26" ht="370.5" x14ac:dyDescent="0.25">
      <c r="A13" s="1"/>
      <c r="B13" s="1" t="s">
        <v>18</v>
      </c>
      <c r="C13" s="1" t="s">
        <v>11</v>
      </c>
      <c r="D13" s="5" t="s">
        <v>19</v>
      </c>
      <c r="E13" s="3">
        <v>6</v>
      </c>
      <c r="F13" s="8" t="s">
        <v>17</v>
      </c>
      <c r="G13" s="1"/>
      <c r="H13" s="1"/>
      <c r="I13" s="1"/>
      <c r="J13" s="1"/>
      <c r="K13" s="1"/>
      <c r="L13" s="1"/>
      <c r="M13" s="1"/>
      <c r="N13" s="1"/>
      <c r="O13" s="1"/>
      <c r="P13" s="1"/>
      <c r="Q13" s="1"/>
      <c r="R13" s="1"/>
      <c r="S13" s="1"/>
      <c r="T13" s="1"/>
      <c r="U13" s="1"/>
      <c r="V13" s="1"/>
      <c r="W13" s="1"/>
      <c r="X13" s="1"/>
      <c r="Y13" s="1"/>
      <c r="Z13" s="1"/>
    </row>
    <row r="14" spans="1:26" ht="30" x14ac:dyDescent="0.25">
      <c r="A14" s="1"/>
      <c r="B14" s="1" t="s">
        <v>20</v>
      </c>
      <c r="C14" s="1" t="s">
        <v>1</v>
      </c>
      <c r="D14" s="4" t="s">
        <v>21</v>
      </c>
      <c r="E14" s="3">
        <v>6</v>
      </c>
      <c r="F14" s="8" t="s">
        <v>17</v>
      </c>
      <c r="G14" s="1"/>
      <c r="H14" s="1"/>
      <c r="I14" s="1"/>
      <c r="J14" s="1"/>
      <c r="K14" s="1"/>
      <c r="L14" s="1"/>
      <c r="M14" s="1"/>
      <c r="N14" s="1"/>
      <c r="O14" s="1"/>
      <c r="P14" s="1"/>
      <c r="Q14" s="1"/>
      <c r="R14" s="1"/>
      <c r="S14" s="1"/>
      <c r="T14" s="1"/>
      <c r="U14" s="1"/>
      <c r="V14" s="1"/>
      <c r="W14" s="1"/>
      <c r="X14" s="1"/>
      <c r="Y14" s="1"/>
      <c r="Z14" s="1"/>
    </row>
    <row r="15" spans="1:26" ht="45" x14ac:dyDescent="0.25">
      <c r="A15" s="1"/>
      <c r="B15" s="1" t="s">
        <v>22</v>
      </c>
      <c r="C15" s="1" t="s">
        <v>11</v>
      </c>
      <c r="D15" s="4" t="s">
        <v>23</v>
      </c>
      <c r="E15" s="3">
        <v>6</v>
      </c>
      <c r="F15" s="8" t="s">
        <v>17</v>
      </c>
      <c r="G15" s="1"/>
      <c r="H15" s="1"/>
      <c r="I15" s="1"/>
      <c r="J15" s="1"/>
      <c r="K15" s="1"/>
      <c r="L15" s="1"/>
      <c r="M15" s="1"/>
      <c r="N15" s="1"/>
      <c r="O15" s="1"/>
      <c r="P15" s="1"/>
      <c r="Q15" s="1"/>
      <c r="R15" s="1"/>
      <c r="S15" s="1"/>
      <c r="T15" s="1"/>
      <c r="U15" s="1"/>
      <c r="V15" s="1"/>
      <c r="W15" s="1"/>
      <c r="X15" s="1"/>
      <c r="Y15" s="1"/>
      <c r="Z15" s="1"/>
    </row>
    <row r="16" spans="1:26" ht="45" x14ac:dyDescent="0.25">
      <c r="A16" s="1"/>
      <c r="B16" s="1" t="s">
        <v>24</v>
      </c>
      <c r="C16" s="1" t="s">
        <v>15</v>
      </c>
      <c r="D16" s="4" t="s">
        <v>25</v>
      </c>
      <c r="E16" s="3">
        <v>6</v>
      </c>
      <c r="F16" s="8" t="s">
        <v>17</v>
      </c>
      <c r="G16" s="1"/>
      <c r="H16" s="1"/>
      <c r="I16" s="1"/>
      <c r="J16" s="1"/>
      <c r="K16" s="1"/>
      <c r="L16" s="1"/>
      <c r="M16" s="1"/>
      <c r="N16" s="1"/>
      <c r="O16" s="1"/>
      <c r="P16" s="1"/>
      <c r="Q16" s="1"/>
      <c r="R16" s="1"/>
      <c r="S16" s="1"/>
      <c r="T16" s="1"/>
      <c r="U16" s="1"/>
      <c r="V16" s="1"/>
      <c r="W16" s="1"/>
      <c r="X16" s="1"/>
      <c r="Y16" s="1"/>
      <c r="Z16" s="1"/>
    </row>
    <row r="17" spans="1:26" x14ac:dyDescent="0.25">
      <c r="A17" s="1"/>
      <c r="B17" s="1"/>
      <c r="C17" s="1"/>
      <c r="D17" s="6"/>
      <c r="E17" s="7">
        <f>SUM(E12:E16)</f>
        <v>30</v>
      </c>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6"/>
      <c r="E18" s="7"/>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6" t="s">
        <v>26</v>
      </c>
      <c r="E19" s="7"/>
      <c r="F19" s="1"/>
      <c r="G19" s="1"/>
      <c r="H19" s="1"/>
      <c r="I19" s="1"/>
      <c r="J19" s="1"/>
      <c r="K19" s="1"/>
      <c r="L19" s="1"/>
      <c r="M19" s="1"/>
      <c r="N19" s="1"/>
      <c r="O19" s="1"/>
      <c r="P19" s="1"/>
      <c r="Q19" s="1"/>
      <c r="R19" s="1"/>
      <c r="S19" s="1"/>
      <c r="T19" s="1"/>
      <c r="U19" s="1"/>
      <c r="V19" s="1"/>
      <c r="W19" s="1"/>
      <c r="X19" s="1"/>
      <c r="Y19" s="1"/>
      <c r="Z19" s="1"/>
    </row>
    <row r="20" spans="1:26" x14ac:dyDescent="0.25">
      <c r="A20" s="1"/>
      <c r="B20" s="1" t="s">
        <v>27</v>
      </c>
      <c r="C20" s="1" t="s">
        <v>15</v>
      </c>
      <c r="D20" s="6" t="s">
        <v>28</v>
      </c>
      <c r="E20" s="3">
        <v>6</v>
      </c>
      <c r="F20" s="1" t="s">
        <v>29</v>
      </c>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6"/>
      <c r="E21" s="3"/>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t="s">
        <v>30</v>
      </c>
      <c r="C22" s="1"/>
      <c r="D22" s="6"/>
      <c r="E22" s="3">
        <v>6</v>
      </c>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6"/>
      <c r="E23" s="3"/>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t="s">
        <v>31</v>
      </c>
      <c r="C24" s="1" t="s">
        <v>8</v>
      </c>
      <c r="D24" s="6" t="s">
        <v>32</v>
      </c>
      <c r="E24" s="9">
        <f>E8+E17+E20+E22</f>
        <v>74</v>
      </c>
      <c r="F24" s="1" t="s">
        <v>33</v>
      </c>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6"/>
      <c r="E25" s="9"/>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6"/>
      <c r="E26" s="3"/>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t="s">
        <v>34</v>
      </c>
      <c r="C27" s="1" t="s">
        <v>35</v>
      </c>
      <c r="D27" s="6" t="s">
        <v>36</v>
      </c>
      <c r="E27" s="3" t="s">
        <v>37</v>
      </c>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t="s">
        <v>38</v>
      </c>
      <c r="C28" s="1"/>
      <c r="D28" s="6" t="s">
        <v>39</v>
      </c>
      <c r="E28" s="3"/>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6"/>
      <c r="E29" s="3"/>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6" t="s">
        <v>40</v>
      </c>
      <c r="E30" s="3"/>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6" t="s">
        <v>41</v>
      </c>
      <c r="E31" s="3"/>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6"/>
      <c r="E32" s="3"/>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6"/>
      <c r="E33" s="3"/>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6"/>
      <c r="E34" s="3"/>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6"/>
      <c r="E35" s="3"/>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6"/>
      <c r="E36" s="3"/>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t="s">
        <v>42</v>
      </c>
      <c r="C37" s="1"/>
      <c r="D37" s="6" t="s">
        <v>43</v>
      </c>
      <c r="E37" s="3">
        <v>6</v>
      </c>
      <c r="F37" s="1" t="s">
        <v>44</v>
      </c>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6"/>
      <c r="E38" s="7"/>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6" t="s">
        <v>45</v>
      </c>
      <c r="E39" s="3"/>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t="s">
        <v>46</v>
      </c>
      <c r="C40" s="1"/>
      <c r="D40" s="6" t="s">
        <v>47</v>
      </c>
      <c r="E40" s="3">
        <v>4</v>
      </c>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t="s">
        <v>48</v>
      </c>
      <c r="C41" s="1"/>
      <c r="D41" s="6" t="s">
        <v>49</v>
      </c>
      <c r="E41" s="3">
        <v>6</v>
      </c>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t="s">
        <v>50</v>
      </c>
      <c r="C42" s="1"/>
      <c r="D42" s="6" t="s">
        <v>51</v>
      </c>
      <c r="E42" s="3">
        <v>6</v>
      </c>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t="s">
        <v>52</v>
      </c>
      <c r="C43" s="1"/>
      <c r="D43" s="6" t="s">
        <v>53</v>
      </c>
      <c r="E43" s="3">
        <v>6</v>
      </c>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t="s">
        <v>54</v>
      </c>
      <c r="C44" s="1"/>
      <c r="D44" s="6" t="s">
        <v>55</v>
      </c>
      <c r="E44" s="10">
        <v>5</v>
      </c>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6"/>
      <c r="E45" s="3"/>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6"/>
      <c r="E46" s="7">
        <f>SUM(E40:E44)</f>
        <v>27</v>
      </c>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6"/>
      <c r="E47" s="3"/>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6"/>
      <c r="E48" s="3"/>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6"/>
      <c r="E49" s="3"/>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6"/>
      <c r="E50" s="3"/>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6"/>
      <c r="E51" s="3"/>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6"/>
      <c r="E52" s="3"/>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6"/>
      <c r="E53" s="3"/>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6"/>
      <c r="E54" s="3"/>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6"/>
      <c r="E55" s="3"/>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6"/>
      <c r="E56" s="3"/>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6"/>
      <c r="E57" s="3"/>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6"/>
      <c r="E58" s="3"/>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6"/>
      <c r="E59" s="3"/>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6"/>
      <c r="E60" s="3"/>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6"/>
      <c r="E61" s="3"/>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6"/>
      <c r="E62" s="3"/>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6"/>
      <c r="E63" s="3"/>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6"/>
      <c r="E64" s="3"/>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6"/>
      <c r="E65" s="3"/>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6"/>
      <c r="E66" s="3"/>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6"/>
      <c r="E67" s="3"/>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6"/>
      <c r="E68" s="3"/>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6"/>
      <c r="E69" s="3"/>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6"/>
      <c r="E70" s="3"/>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6"/>
      <c r="E71" s="3"/>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6"/>
      <c r="E72" s="3"/>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6"/>
      <c r="E73" s="3"/>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6"/>
      <c r="E74" s="3"/>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6"/>
      <c r="E75" s="3"/>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6"/>
      <c r="E76" s="3"/>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6"/>
      <c r="E77" s="3"/>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6"/>
      <c r="E78" s="3"/>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6"/>
      <c r="E79" s="3"/>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6"/>
      <c r="E80" s="3"/>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6"/>
      <c r="E81" s="3"/>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6"/>
      <c r="E82" s="3"/>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6"/>
      <c r="E83" s="3"/>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6"/>
      <c r="E84" s="3"/>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6"/>
      <c r="E85" s="3"/>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6"/>
      <c r="E86" s="3"/>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6"/>
      <c r="E87" s="3"/>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6"/>
      <c r="E88" s="3"/>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6"/>
      <c r="E89" s="3"/>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6"/>
      <c r="E90" s="3"/>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6"/>
      <c r="E91" s="3"/>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6"/>
      <c r="E92" s="3"/>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6"/>
      <c r="E93" s="3"/>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6"/>
      <c r="E94" s="3"/>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6"/>
      <c r="E95" s="3"/>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6"/>
      <c r="E96" s="3"/>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6"/>
      <c r="E97" s="3"/>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6"/>
      <c r="E98" s="3"/>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6"/>
      <c r="E99" s="3"/>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6"/>
      <c r="E100" s="3"/>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6"/>
      <c r="E101" s="3"/>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6"/>
      <c r="E102" s="3"/>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6"/>
      <c r="E103" s="3"/>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6"/>
      <c r="E104" s="3"/>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6"/>
      <c r="E105" s="3"/>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6"/>
      <c r="E106" s="3"/>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6"/>
      <c r="E107" s="3"/>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6"/>
      <c r="E108" s="3"/>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6"/>
      <c r="E109" s="3"/>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6"/>
      <c r="E110" s="3"/>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6"/>
      <c r="E111" s="3"/>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6"/>
      <c r="E112" s="3"/>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6"/>
      <c r="E113" s="3"/>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6"/>
      <c r="E114" s="3"/>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6"/>
      <c r="E115" s="3"/>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6"/>
      <c r="E116" s="3"/>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6"/>
      <c r="E117" s="3"/>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6"/>
      <c r="E118" s="3"/>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6"/>
      <c r="E119" s="3"/>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6"/>
      <c r="E120" s="3"/>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6"/>
      <c r="E121" s="3"/>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6"/>
      <c r="E122" s="3"/>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6"/>
      <c r="E123" s="3"/>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6"/>
      <c r="E124" s="3"/>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6"/>
      <c r="E125" s="3"/>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6"/>
      <c r="E126" s="3"/>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6"/>
      <c r="E127" s="3"/>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6"/>
      <c r="E128" s="3"/>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6"/>
      <c r="E129" s="3"/>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6"/>
      <c r="E130" s="3"/>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6"/>
      <c r="E131" s="3"/>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6"/>
      <c r="E132" s="3"/>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6"/>
      <c r="E133" s="3"/>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6"/>
      <c r="E134" s="3"/>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6"/>
      <c r="E135" s="3"/>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6"/>
      <c r="E136" s="3"/>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6"/>
      <c r="E137" s="3"/>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6"/>
      <c r="E138" s="3"/>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6"/>
      <c r="E139" s="3"/>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6"/>
      <c r="E140" s="3"/>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6"/>
      <c r="E141" s="3"/>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6"/>
      <c r="E142" s="3"/>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6"/>
      <c r="E143" s="3"/>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6"/>
      <c r="E144" s="3"/>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6"/>
      <c r="E145" s="3"/>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6"/>
      <c r="E146" s="3"/>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6"/>
      <c r="E147" s="3"/>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6"/>
      <c r="E148" s="3"/>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6"/>
      <c r="E149" s="3"/>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6"/>
      <c r="E150" s="3"/>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6"/>
      <c r="E151" s="3"/>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6"/>
      <c r="E152" s="3"/>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6"/>
      <c r="E153" s="3"/>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6"/>
      <c r="E154" s="3"/>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6"/>
      <c r="E155" s="3"/>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6"/>
      <c r="E156" s="3"/>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6"/>
      <c r="E157" s="3"/>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6"/>
      <c r="E158" s="3"/>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6"/>
      <c r="E159" s="3"/>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6"/>
      <c r="E160" s="3"/>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6"/>
      <c r="E161" s="3"/>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6"/>
      <c r="E162" s="3"/>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6"/>
      <c r="E163" s="3"/>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6"/>
      <c r="E164" s="3"/>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6"/>
      <c r="E165" s="3"/>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6"/>
      <c r="E166" s="3"/>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6"/>
      <c r="E167" s="3"/>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6"/>
      <c r="E168" s="3"/>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6"/>
      <c r="E169" s="3"/>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6"/>
      <c r="E170" s="3"/>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6"/>
      <c r="E171" s="3"/>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6"/>
      <c r="E172" s="3"/>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6"/>
      <c r="E173" s="3"/>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6"/>
      <c r="E174" s="3"/>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6"/>
      <c r="E175" s="3"/>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6"/>
      <c r="E176" s="3"/>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6"/>
      <c r="E177" s="3"/>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6"/>
      <c r="E178" s="3"/>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6"/>
      <c r="E179" s="3"/>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6"/>
      <c r="E180" s="3"/>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6"/>
      <c r="E181" s="3"/>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6"/>
      <c r="E182" s="3"/>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6"/>
      <c r="E183" s="3"/>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6"/>
      <c r="E184" s="3"/>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6"/>
      <c r="E185" s="3"/>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6"/>
      <c r="E186" s="3"/>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6"/>
      <c r="E187" s="3"/>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6"/>
      <c r="E188" s="3"/>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6"/>
      <c r="E189" s="3"/>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6"/>
      <c r="E190" s="3"/>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6"/>
      <c r="E191" s="3"/>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6"/>
      <c r="E192" s="3"/>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6"/>
      <c r="E193" s="3"/>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6"/>
      <c r="E194" s="3"/>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6"/>
      <c r="E195" s="3"/>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6"/>
      <c r="E196" s="3"/>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6"/>
      <c r="E197" s="3"/>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6"/>
      <c r="E198" s="3"/>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6"/>
      <c r="E199" s="3"/>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6"/>
      <c r="E200" s="3"/>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6"/>
      <c r="E201" s="3"/>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6"/>
      <c r="E202" s="3"/>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6"/>
      <c r="E203" s="3"/>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6"/>
      <c r="E204" s="3"/>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6"/>
      <c r="E205" s="3"/>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6"/>
      <c r="E206" s="3"/>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6"/>
      <c r="E207" s="3"/>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6"/>
      <c r="E208" s="3"/>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6"/>
      <c r="E209" s="3"/>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6"/>
      <c r="E210" s="3"/>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6"/>
      <c r="E211" s="3"/>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6"/>
      <c r="E212" s="3"/>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6"/>
      <c r="E213" s="3"/>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6"/>
      <c r="E214" s="3"/>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6"/>
      <c r="E215" s="3"/>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6"/>
      <c r="E216" s="3"/>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6"/>
      <c r="E217" s="3"/>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6"/>
      <c r="E218" s="3"/>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6"/>
      <c r="E219" s="3"/>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6"/>
      <c r="E220" s="3"/>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6"/>
      <c r="E221" s="3"/>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6"/>
      <c r="E222" s="3"/>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6"/>
      <c r="E223" s="3"/>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6"/>
      <c r="E224" s="3"/>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6"/>
      <c r="E225" s="3"/>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6"/>
      <c r="E226" s="3"/>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6"/>
      <c r="E227" s="3"/>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6"/>
      <c r="E228" s="3"/>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6"/>
      <c r="E229" s="3"/>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6"/>
      <c r="E230" s="3"/>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6"/>
      <c r="E231" s="3"/>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6"/>
      <c r="E232" s="3"/>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6"/>
      <c r="E233" s="3"/>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6"/>
      <c r="E234" s="3"/>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6"/>
      <c r="E235" s="3"/>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6"/>
      <c r="E236" s="3"/>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6"/>
      <c r="E237" s="3"/>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6"/>
      <c r="E238" s="3"/>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6"/>
      <c r="E239" s="3"/>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6"/>
      <c r="E240" s="3"/>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6"/>
      <c r="E241" s="3"/>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6"/>
      <c r="E242" s="3"/>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6"/>
      <c r="E243" s="3"/>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6"/>
      <c r="E244" s="3"/>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6"/>
      <c r="E245" s="3"/>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6"/>
      <c r="E246" s="3"/>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6"/>
      <c r="E247" s="3"/>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6"/>
      <c r="E248" s="3"/>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6"/>
      <c r="E249" s="3"/>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6"/>
      <c r="E250" s="3"/>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6"/>
      <c r="E251" s="3"/>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6"/>
      <c r="E252" s="3"/>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6"/>
      <c r="E253" s="3"/>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6"/>
      <c r="E254" s="3"/>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6"/>
      <c r="E255" s="3"/>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6"/>
      <c r="E256" s="3"/>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6"/>
      <c r="E257" s="3"/>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6"/>
      <c r="E258" s="3"/>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6"/>
      <c r="E259" s="3"/>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6"/>
      <c r="E260" s="3"/>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6"/>
      <c r="E261" s="3"/>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6"/>
      <c r="E262" s="3"/>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6"/>
      <c r="E263" s="3"/>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6"/>
      <c r="E264" s="3"/>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6"/>
      <c r="E265" s="3"/>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6"/>
      <c r="E266" s="3"/>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6"/>
      <c r="E267" s="3"/>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6"/>
      <c r="E268" s="3"/>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6"/>
      <c r="E269" s="3"/>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6"/>
      <c r="E270" s="3"/>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6"/>
      <c r="E271" s="3"/>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6"/>
      <c r="E272" s="3"/>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6"/>
      <c r="E273" s="3"/>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6"/>
      <c r="E274" s="3"/>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6"/>
      <c r="E275" s="3"/>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6"/>
      <c r="E276" s="3"/>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6"/>
      <c r="E277" s="3"/>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6"/>
      <c r="E278" s="3"/>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6"/>
      <c r="E279" s="3"/>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6"/>
      <c r="E280" s="3"/>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6"/>
      <c r="E281" s="3"/>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6"/>
      <c r="E282" s="3"/>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6"/>
      <c r="E283" s="3"/>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6"/>
      <c r="E284" s="3"/>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6"/>
      <c r="E285" s="3"/>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6"/>
      <c r="E286" s="3"/>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6"/>
      <c r="E287" s="3"/>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6"/>
      <c r="E288" s="3"/>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6"/>
      <c r="E289" s="3"/>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6"/>
      <c r="E290" s="3"/>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6"/>
      <c r="E291" s="3"/>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6"/>
      <c r="E292" s="3"/>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6"/>
      <c r="E293" s="3"/>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6"/>
      <c r="E294" s="3"/>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6"/>
      <c r="E295" s="3"/>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6"/>
      <c r="E296" s="3"/>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6"/>
      <c r="E297" s="3"/>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6"/>
      <c r="E298" s="3"/>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6"/>
      <c r="E299" s="3"/>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6"/>
      <c r="E300" s="3"/>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6"/>
      <c r="E301" s="3"/>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6"/>
      <c r="E302" s="3"/>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6"/>
      <c r="E303" s="3"/>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6"/>
      <c r="E304" s="3"/>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6"/>
      <c r="E305" s="3"/>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6"/>
      <c r="E306" s="3"/>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6"/>
      <c r="E307" s="3"/>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6"/>
      <c r="E308" s="3"/>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6"/>
      <c r="E309" s="3"/>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6"/>
      <c r="E310" s="3"/>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6"/>
      <c r="E311" s="3"/>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6"/>
      <c r="E312" s="3"/>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6"/>
      <c r="E313" s="3"/>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6"/>
      <c r="E314" s="3"/>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6"/>
      <c r="E315" s="3"/>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6"/>
      <c r="E316" s="3"/>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6"/>
      <c r="E317" s="3"/>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6"/>
      <c r="E318" s="3"/>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6"/>
      <c r="E319" s="3"/>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6"/>
      <c r="E320" s="3"/>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6"/>
      <c r="E321" s="3"/>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6"/>
      <c r="E322" s="3"/>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6"/>
      <c r="E323" s="3"/>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6"/>
      <c r="E324" s="3"/>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6"/>
      <c r="E325" s="3"/>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6"/>
      <c r="E326" s="3"/>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6"/>
      <c r="E327" s="3"/>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6"/>
      <c r="E328" s="3"/>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6"/>
      <c r="E329" s="3"/>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6"/>
      <c r="E330" s="3"/>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6"/>
      <c r="E331" s="3"/>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6"/>
      <c r="E332" s="3"/>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6"/>
      <c r="E333" s="3"/>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6"/>
      <c r="E334" s="3"/>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6"/>
      <c r="E335" s="3"/>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6"/>
      <c r="E336" s="3"/>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6"/>
      <c r="E337" s="3"/>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6"/>
      <c r="E338" s="3"/>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6"/>
      <c r="E339" s="3"/>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6"/>
      <c r="E340" s="3"/>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6"/>
      <c r="E341" s="3"/>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6"/>
      <c r="E342" s="3"/>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6"/>
      <c r="E343" s="3"/>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6"/>
      <c r="E344" s="3"/>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6"/>
      <c r="E345" s="3"/>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6"/>
      <c r="E346" s="3"/>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6"/>
      <c r="E347" s="3"/>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6"/>
      <c r="E348" s="3"/>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6"/>
      <c r="E349" s="3"/>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6"/>
      <c r="E350" s="3"/>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6"/>
      <c r="E351" s="3"/>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6"/>
      <c r="E352" s="3"/>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6"/>
      <c r="E353" s="3"/>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6"/>
      <c r="E354" s="3"/>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6"/>
      <c r="E355" s="3"/>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6"/>
      <c r="E356" s="3"/>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6"/>
      <c r="E357" s="3"/>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6"/>
      <c r="E358" s="3"/>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6"/>
      <c r="E359" s="3"/>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6"/>
      <c r="E360" s="3"/>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6"/>
      <c r="E361" s="3"/>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6"/>
      <c r="E362" s="3"/>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6"/>
      <c r="E363" s="3"/>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6"/>
      <c r="E364" s="3"/>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6"/>
      <c r="E365" s="3"/>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6"/>
      <c r="E366" s="3"/>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6"/>
      <c r="E367" s="3"/>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6"/>
      <c r="E368" s="3"/>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6"/>
      <c r="E369" s="3"/>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6"/>
      <c r="E370" s="3"/>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6"/>
      <c r="E371" s="3"/>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6"/>
      <c r="E372" s="3"/>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6"/>
      <c r="E373" s="3"/>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6"/>
      <c r="E374" s="3"/>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6"/>
      <c r="E375" s="3"/>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6"/>
      <c r="E376" s="3"/>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6"/>
      <c r="E377" s="3"/>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6"/>
      <c r="E378" s="3"/>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6"/>
      <c r="E379" s="3"/>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6"/>
      <c r="E380" s="3"/>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6"/>
      <c r="E381" s="3"/>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6"/>
      <c r="E382" s="3"/>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6"/>
      <c r="E383" s="3"/>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6"/>
      <c r="E384" s="3"/>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6"/>
      <c r="E385" s="3"/>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6"/>
      <c r="E386" s="3"/>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6"/>
      <c r="E387" s="3"/>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6"/>
      <c r="E388" s="3"/>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6"/>
      <c r="E389" s="3"/>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6"/>
      <c r="E390" s="3"/>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6"/>
      <c r="E391" s="3"/>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6"/>
      <c r="E392" s="3"/>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6"/>
      <c r="E393" s="3"/>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6"/>
      <c r="E394" s="3"/>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6"/>
      <c r="E395" s="3"/>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6"/>
      <c r="E396" s="3"/>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6"/>
      <c r="E397" s="3"/>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6"/>
      <c r="E398" s="3"/>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6"/>
      <c r="E399" s="3"/>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6"/>
      <c r="E400" s="3"/>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6"/>
      <c r="E401" s="3"/>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6"/>
      <c r="E402" s="3"/>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6"/>
      <c r="E403" s="3"/>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6"/>
      <c r="E404" s="3"/>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6"/>
      <c r="E405" s="3"/>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6"/>
      <c r="E406" s="3"/>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6"/>
      <c r="E407" s="3"/>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6"/>
      <c r="E408" s="3"/>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6"/>
      <c r="E409" s="3"/>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6"/>
      <c r="E410" s="3"/>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6"/>
      <c r="E411" s="3"/>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6"/>
      <c r="E412" s="3"/>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6"/>
      <c r="E413" s="3"/>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6"/>
      <c r="E414" s="3"/>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6"/>
      <c r="E415" s="3"/>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6"/>
      <c r="E416" s="3"/>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6"/>
      <c r="E417" s="3"/>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6"/>
      <c r="E418" s="3"/>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6"/>
      <c r="E419" s="3"/>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6"/>
      <c r="E420" s="3"/>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6"/>
      <c r="E421" s="3"/>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6"/>
      <c r="E422" s="3"/>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6"/>
      <c r="E423" s="3"/>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6"/>
      <c r="E424" s="3"/>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6"/>
      <c r="E425" s="3"/>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6"/>
      <c r="E426" s="3"/>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6"/>
      <c r="E427" s="3"/>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6"/>
      <c r="E428" s="3"/>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6"/>
      <c r="E429" s="3"/>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6"/>
      <c r="E430" s="3"/>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6"/>
      <c r="E431" s="3"/>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6"/>
      <c r="E432" s="3"/>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6"/>
      <c r="E433" s="3"/>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6"/>
      <c r="E434" s="3"/>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6"/>
      <c r="E435" s="3"/>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6"/>
      <c r="E436" s="3"/>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6"/>
      <c r="E437" s="3"/>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6"/>
      <c r="E438" s="3"/>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6"/>
      <c r="E439" s="3"/>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6"/>
      <c r="E440" s="3"/>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6"/>
      <c r="E441" s="3"/>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6"/>
      <c r="E442" s="3"/>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6"/>
      <c r="E443" s="3"/>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6"/>
      <c r="E444" s="3"/>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6"/>
      <c r="E445" s="3"/>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6"/>
      <c r="E446" s="3"/>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6"/>
      <c r="E447" s="3"/>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6"/>
      <c r="E448" s="3"/>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6"/>
      <c r="E449" s="3"/>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6"/>
      <c r="E450" s="3"/>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6"/>
      <c r="E451" s="3"/>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6"/>
      <c r="E452" s="3"/>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6"/>
      <c r="E453" s="3"/>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6"/>
      <c r="E454" s="3"/>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6"/>
      <c r="E455" s="3"/>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6"/>
      <c r="E456" s="3"/>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6"/>
      <c r="E457" s="3"/>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6"/>
      <c r="E458" s="3"/>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6"/>
      <c r="E459" s="3"/>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6"/>
      <c r="E460" s="3"/>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6"/>
      <c r="E461" s="3"/>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6"/>
      <c r="E462" s="3"/>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6"/>
      <c r="E463" s="3"/>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6"/>
      <c r="E464" s="3"/>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6"/>
      <c r="E465" s="3"/>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6"/>
      <c r="E466" s="3"/>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6"/>
      <c r="E467" s="3"/>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6"/>
      <c r="E468" s="3"/>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6"/>
      <c r="E469" s="3"/>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6"/>
      <c r="E470" s="3"/>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6"/>
      <c r="E471" s="3"/>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6"/>
      <c r="E472" s="3"/>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6"/>
      <c r="E473" s="3"/>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6"/>
      <c r="E474" s="3"/>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6"/>
      <c r="E475" s="3"/>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6"/>
      <c r="E476" s="3"/>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6"/>
      <c r="E477" s="3"/>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6"/>
      <c r="E478" s="3"/>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6"/>
      <c r="E479" s="3"/>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6"/>
      <c r="E480" s="3"/>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6"/>
      <c r="E481" s="3"/>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6"/>
      <c r="E482" s="3"/>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6"/>
      <c r="E483" s="3"/>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6"/>
      <c r="E484" s="3"/>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6"/>
      <c r="E485" s="3"/>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6"/>
      <c r="E486" s="3"/>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6"/>
      <c r="E487" s="3"/>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6"/>
      <c r="E488" s="3"/>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6"/>
      <c r="E489" s="3"/>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6"/>
      <c r="E490" s="3"/>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6"/>
      <c r="E491" s="3"/>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6"/>
      <c r="E492" s="3"/>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6"/>
      <c r="E493" s="3"/>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6"/>
      <c r="E494" s="3"/>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6"/>
      <c r="E495" s="3"/>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6"/>
      <c r="E496" s="3"/>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6"/>
      <c r="E497" s="3"/>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6"/>
      <c r="E498" s="3"/>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6"/>
      <c r="E499" s="3"/>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6"/>
      <c r="E500" s="3"/>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6"/>
      <c r="E501" s="3"/>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6"/>
      <c r="E502" s="3"/>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6"/>
      <c r="E503" s="3"/>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6"/>
      <c r="E504" s="3"/>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6"/>
      <c r="E505" s="3"/>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6"/>
      <c r="E506" s="3"/>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6"/>
      <c r="E507" s="3"/>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6"/>
      <c r="E508" s="3"/>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6"/>
      <c r="E509" s="3"/>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6"/>
      <c r="E510" s="3"/>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6"/>
      <c r="E511" s="3"/>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6"/>
      <c r="E512" s="3"/>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6"/>
      <c r="E513" s="3"/>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6"/>
      <c r="E514" s="3"/>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6"/>
      <c r="E515" s="3"/>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6"/>
      <c r="E516" s="3"/>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6"/>
      <c r="E517" s="3"/>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6"/>
      <c r="E518" s="3"/>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6"/>
      <c r="E519" s="3"/>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6"/>
      <c r="E520" s="3"/>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6"/>
      <c r="E521" s="3"/>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6"/>
      <c r="E522" s="3"/>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6"/>
      <c r="E523" s="3"/>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6"/>
      <c r="E524" s="3"/>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6"/>
      <c r="E525" s="3"/>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6"/>
      <c r="E526" s="3"/>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6"/>
      <c r="E527" s="3"/>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6"/>
      <c r="E528" s="3"/>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6"/>
      <c r="E529" s="3"/>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6"/>
      <c r="E530" s="3"/>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6"/>
      <c r="E531" s="3"/>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6"/>
      <c r="E532" s="3"/>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6"/>
      <c r="E533" s="3"/>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6"/>
      <c r="E534" s="3"/>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6"/>
      <c r="E535" s="3"/>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6"/>
      <c r="E536" s="3"/>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6"/>
      <c r="E537" s="3"/>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6"/>
      <c r="E538" s="3"/>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6"/>
      <c r="E539" s="3"/>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6"/>
      <c r="E540" s="3"/>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6"/>
      <c r="E541" s="3"/>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6"/>
      <c r="E542" s="3"/>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6"/>
      <c r="E543" s="3"/>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6"/>
      <c r="E544" s="3"/>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6"/>
      <c r="E545" s="3"/>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6"/>
      <c r="E546" s="3"/>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6"/>
      <c r="E547" s="3"/>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6"/>
      <c r="E548" s="3"/>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6"/>
      <c r="E549" s="3"/>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6"/>
      <c r="E550" s="3"/>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6"/>
      <c r="E551" s="3"/>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6"/>
      <c r="E552" s="3"/>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6"/>
      <c r="E553" s="3"/>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6"/>
      <c r="E554" s="3"/>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6"/>
      <c r="E555" s="3"/>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6"/>
      <c r="E556" s="3"/>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6"/>
      <c r="E557" s="3"/>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6"/>
      <c r="E558" s="3"/>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6"/>
      <c r="E559" s="3"/>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6"/>
      <c r="E560" s="3"/>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6"/>
      <c r="E561" s="3"/>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6"/>
      <c r="E562" s="3"/>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6"/>
      <c r="E563" s="3"/>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6"/>
      <c r="E564" s="3"/>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6"/>
      <c r="E565" s="3"/>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6"/>
      <c r="E566" s="3"/>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6"/>
      <c r="E567" s="3"/>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6"/>
      <c r="E568" s="3"/>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6"/>
      <c r="E569" s="3"/>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6"/>
      <c r="E570" s="3"/>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6"/>
      <c r="E571" s="3"/>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6"/>
      <c r="E572" s="3"/>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6"/>
      <c r="E573" s="3"/>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6"/>
      <c r="E574" s="3"/>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6"/>
      <c r="E575" s="3"/>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6"/>
      <c r="E576" s="3"/>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6"/>
      <c r="E577" s="3"/>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6"/>
      <c r="E578" s="3"/>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6"/>
      <c r="E579" s="3"/>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6"/>
      <c r="E580" s="3"/>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6"/>
      <c r="E581" s="3"/>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6"/>
      <c r="E582" s="3"/>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6"/>
      <c r="E583" s="3"/>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6"/>
      <c r="E584" s="3"/>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6"/>
      <c r="E585" s="3"/>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6"/>
      <c r="E586" s="3"/>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6"/>
      <c r="E587" s="3"/>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6"/>
      <c r="E588" s="3"/>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6"/>
      <c r="E589" s="3"/>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6"/>
      <c r="E590" s="3"/>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6"/>
      <c r="E591" s="3"/>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6"/>
      <c r="E592" s="3"/>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6"/>
      <c r="E593" s="3"/>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6"/>
      <c r="E594" s="3"/>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6"/>
      <c r="E595" s="3"/>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6"/>
      <c r="E596" s="3"/>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6"/>
      <c r="E597" s="3"/>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6"/>
      <c r="E598" s="3"/>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6"/>
      <c r="E599" s="3"/>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6"/>
      <c r="E600" s="3"/>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6"/>
      <c r="E601" s="3"/>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6"/>
      <c r="E602" s="3"/>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6"/>
      <c r="E603" s="3"/>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6"/>
      <c r="E604" s="3"/>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6"/>
      <c r="E605" s="3"/>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6"/>
      <c r="E606" s="3"/>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6"/>
      <c r="E607" s="3"/>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6"/>
      <c r="E608" s="3"/>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6"/>
      <c r="E609" s="3"/>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6"/>
      <c r="E610" s="3"/>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6"/>
      <c r="E611" s="3"/>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6"/>
      <c r="E612" s="3"/>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6"/>
      <c r="E613" s="3"/>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6"/>
      <c r="E614" s="3"/>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6"/>
      <c r="E615" s="3"/>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6"/>
      <c r="E616" s="3"/>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6"/>
      <c r="E617" s="3"/>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6"/>
      <c r="E618" s="3"/>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6"/>
      <c r="E619" s="3"/>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6"/>
      <c r="E620" s="3"/>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6"/>
      <c r="E621" s="3"/>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6"/>
      <c r="E622" s="3"/>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6"/>
      <c r="E623" s="3"/>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6"/>
      <c r="E624" s="3"/>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6"/>
      <c r="E625" s="3"/>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6"/>
      <c r="E626" s="3"/>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6"/>
      <c r="E627" s="3"/>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6"/>
      <c r="E628" s="3"/>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6"/>
      <c r="E629" s="3"/>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6"/>
      <c r="E630" s="3"/>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6"/>
      <c r="E631" s="3"/>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6"/>
      <c r="E632" s="3"/>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6"/>
      <c r="E633" s="3"/>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6"/>
      <c r="E634" s="3"/>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6"/>
      <c r="E635" s="3"/>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6"/>
      <c r="E636" s="3"/>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6"/>
      <c r="E637" s="3"/>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6"/>
      <c r="E638" s="3"/>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6"/>
      <c r="E639" s="3"/>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6"/>
      <c r="E640" s="3"/>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6"/>
      <c r="E641" s="3"/>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6"/>
      <c r="E642" s="3"/>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6"/>
      <c r="E643" s="3"/>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6"/>
      <c r="E644" s="3"/>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6"/>
      <c r="E645" s="3"/>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6"/>
      <c r="E646" s="3"/>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6"/>
      <c r="E647" s="3"/>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6"/>
      <c r="E648" s="3"/>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6"/>
      <c r="E649" s="3"/>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6"/>
      <c r="E650" s="3"/>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6"/>
      <c r="E651" s="3"/>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6"/>
      <c r="E652" s="3"/>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6"/>
      <c r="E653" s="3"/>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6"/>
      <c r="E654" s="3"/>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6"/>
      <c r="E655" s="3"/>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6"/>
      <c r="E656" s="3"/>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6"/>
      <c r="E657" s="3"/>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6"/>
      <c r="E658" s="3"/>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6"/>
      <c r="E659" s="3"/>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6"/>
      <c r="E660" s="3"/>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6"/>
      <c r="E661" s="3"/>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6"/>
      <c r="E662" s="3"/>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6"/>
      <c r="E663" s="3"/>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6"/>
      <c r="E664" s="3"/>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6"/>
      <c r="E665" s="3"/>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6"/>
      <c r="E666" s="3"/>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6"/>
      <c r="E667" s="3"/>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6"/>
      <c r="E668" s="3"/>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6"/>
      <c r="E669" s="3"/>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6"/>
      <c r="E670" s="3"/>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6"/>
      <c r="E671" s="3"/>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6"/>
      <c r="E672" s="3"/>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6"/>
      <c r="E673" s="3"/>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6"/>
      <c r="E674" s="3"/>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6"/>
      <c r="E675" s="3"/>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6"/>
      <c r="E676" s="3"/>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6"/>
      <c r="E677" s="3"/>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6"/>
      <c r="E678" s="3"/>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6"/>
      <c r="E679" s="3"/>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6"/>
      <c r="E680" s="3"/>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6"/>
      <c r="E681" s="3"/>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6"/>
      <c r="E682" s="3"/>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6"/>
      <c r="E683" s="3"/>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6"/>
      <c r="E684" s="3"/>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6"/>
      <c r="E685" s="3"/>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6"/>
      <c r="E686" s="3"/>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6"/>
      <c r="E687" s="3"/>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6"/>
      <c r="E688" s="3"/>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6"/>
      <c r="E689" s="3"/>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6"/>
      <c r="E690" s="3"/>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6"/>
      <c r="E691" s="3"/>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6"/>
      <c r="E692" s="3"/>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6"/>
      <c r="E693" s="3"/>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6"/>
      <c r="E694" s="3"/>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6"/>
      <c r="E695" s="3"/>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6"/>
      <c r="E696" s="3"/>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6"/>
      <c r="E697" s="3"/>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6"/>
      <c r="E698" s="3"/>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6"/>
      <c r="E699" s="3"/>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6"/>
      <c r="E700" s="3"/>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6"/>
      <c r="E701" s="3"/>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6"/>
      <c r="E702" s="3"/>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6"/>
      <c r="E703" s="3"/>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6"/>
      <c r="E704" s="3"/>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6"/>
      <c r="E705" s="3"/>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6"/>
      <c r="E706" s="3"/>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6"/>
      <c r="E707" s="3"/>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6"/>
      <c r="E708" s="3"/>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6"/>
      <c r="E709" s="3"/>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6"/>
      <c r="E710" s="3"/>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6"/>
      <c r="E711" s="3"/>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6"/>
      <c r="E712" s="3"/>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6"/>
      <c r="E713" s="3"/>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6"/>
      <c r="E714" s="3"/>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6"/>
      <c r="E715" s="3"/>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6"/>
      <c r="E716" s="3"/>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6"/>
      <c r="E717" s="3"/>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6"/>
      <c r="E718" s="3"/>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6"/>
      <c r="E719" s="3"/>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6"/>
      <c r="E720" s="3"/>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6"/>
      <c r="E721" s="3"/>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6"/>
      <c r="E722" s="3"/>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6"/>
      <c r="E723" s="3"/>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6"/>
      <c r="E724" s="3"/>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6"/>
      <c r="E725" s="3"/>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6"/>
      <c r="E726" s="3"/>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6"/>
      <c r="E727" s="3"/>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6"/>
      <c r="E728" s="3"/>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6"/>
      <c r="E729" s="3"/>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6"/>
      <c r="E730" s="3"/>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6"/>
      <c r="E731" s="3"/>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6"/>
      <c r="E732" s="3"/>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6"/>
      <c r="E733" s="3"/>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6"/>
      <c r="E734" s="3"/>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6"/>
      <c r="E735" s="3"/>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6"/>
      <c r="E736" s="3"/>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6"/>
      <c r="E737" s="3"/>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6"/>
      <c r="E738" s="3"/>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6"/>
      <c r="E739" s="3"/>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6"/>
      <c r="E740" s="3"/>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6"/>
      <c r="E741" s="3"/>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6"/>
      <c r="E742" s="3"/>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6"/>
      <c r="E743" s="3"/>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6"/>
      <c r="E744" s="3"/>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6"/>
      <c r="E745" s="3"/>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6"/>
      <c r="E746" s="3"/>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6"/>
      <c r="E747" s="3"/>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6"/>
      <c r="E748" s="3"/>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6"/>
      <c r="E749" s="3"/>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6"/>
      <c r="E750" s="3"/>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6"/>
      <c r="E751" s="3"/>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6"/>
      <c r="E752" s="3"/>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6"/>
      <c r="E753" s="3"/>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6"/>
      <c r="E754" s="3"/>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6"/>
      <c r="E755" s="3"/>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6"/>
      <c r="E756" s="3"/>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6"/>
      <c r="E757" s="3"/>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6"/>
      <c r="E758" s="3"/>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6"/>
      <c r="E759" s="3"/>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6"/>
      <c r="E760" s="3"/>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6"/>
      <c r="E761" s="3"/>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6"/>
      <c r="E762" s="3"/>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6"/>
      <c r="E763" s="3"/>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6"/>
      <c r="E764" s="3"/>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6"/>
      <c r="E765" s="3"/>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6"/>
      <c r="E766" s="3"/>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6"/>
      <c r="E767" s="3"/>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6"/>
      <c r="E768" s="3"/>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6"/>
      <c r="E769" s="3"/>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6"/>
      <c r="E770" s="3"/>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6"/>
      <c r="E771" s="3"/>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6"/>
      <c r="E772" s="3"/>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6"/>
      <c r="E773" s="3"/>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6"/>
      <c r="E774" s="3"/>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6"/>
      <c r="E775" s="3"/>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6"/>
      <c r="E776" s="3"/>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6"/>
      <c r="E777" s="3"/>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6"/>
      <c r="E778" s="3"/>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6"/>
      <c r="E779" s="3"/>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6"/>
      <c r="E780" s="3"/>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6"/>
      <c r="E781" s="3"/>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6"/>
      <c r="E782" s="3"/>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6"/>
      <c r="E783" s="3"/>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6"/>
      <c r="E784" s="3"/>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6"/>
      <c r="E785" s="3"/>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6"/>
      <c r="E786" s="3"/>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6"/>
      <c r="E787" s="3"/>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6"/>
      <c r="E788" s="3"/>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6"/>
      <c r="E789" s="3"/>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6"/>
      <c r="E790" s="3"/>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6"/>
      <c r="E791" s="3"/>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6"/>
      <c r="E792" s="3"/>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6"/>
      <c r="E793" s="3"/>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6"/>
      <c r="E794" s="3"/>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6"/>
      <c r="E795" s="3"/>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6"/>
      <c r="E796" s="3"/>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6"/>
      <c r="E797" s="3"/>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6"/>
      <c r="E798" s="3"/>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6"/>
      <c r="E799" s="3"/>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6"/>
      <c r="E800" s="3"/>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6"/>
      <c r="E801" s="3"/>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6"/>
      <c r="E802" s="3"/>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6"/>
      <c r="E803" s="3"/>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6"/>
      <c r="E804" s="3"/>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6"/>
      <c r="E805" s="3"/>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6"/>
      <c r="E806" s="3"/>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6"/>
      <c r="E807" s="3"/>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6"/>
      <c r="E808" s="3"/>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6"/>
      <c r="E809" s="3"/>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6"/>
      <c r="E810" s="3"/>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6"/>
      <c r="E811" s="3"/>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6"/>
      <c r="E812" s="3"/>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6"/>
      <c r="E813" s="3"/>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6"/>
      <c r="E814" s="3"/>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6"/>
      <c r="E815" s="3"/>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6"/>
      <c r="E816" s="3"/>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6"/>
      <c r="E817" s="3"/>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6"/>
      <c r="E818" s="3"/>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6"/>
      <c r="E819" s="3"/>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6"/>
      <c r="E820" s="3"/>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6"/>
      <c r="E821" s="3"/>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6"/>
      <c r="E822" s="3"/>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6"/>
      <c r="E823" s="3"/>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6"/>
      <c r="E824" s="3"/>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6"/>
      <c r="E825" s="3"/>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6"/>
      <c r="E826" s="3"/>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6"/>
      <c r="E827" s="3"/>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6"/>
      <c r="E828" s="3"/>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6"/>
      <c r="E829" s="3"/>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6"/>
      <c r="E830" s="3"/>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6"/>
      <c r="E831" s="3"/>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6"/>
      <c r="E832" s="3"/>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6"/>
      <c r="E833" s="3"/>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6"/>
      <c r="E834" s="3"/>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6"/>
      <c r="E835" s="3"/>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6"/>
      <c r="E836" s="3"/>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6"/>
      <c r="E837" s="3"/>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6"/>
      <c r="E838" s="3"/>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6"/>
      <c r="E839" s="3"/>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6"/>
      <c r="E840" s="3"/>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6"/>
      <c r="E841" s="3"/>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6"/>
      <c r="E842" s="3"/>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6"/>
      <c r="E843" s="3"/>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6"/>
      <c r="E844" s="3"/>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6"/>
      <c r="E845" s="3"/>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6"/>
      <c r="E846" s="3"/>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6"/>
      <c r="E847" s="3"/>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6"/>
      <c r="E848" s="3"/>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6"/>
      <c r="E849" s="3"/>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6"/>
      <c r="E850" s="3"/>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6"/>
      <c r="E851" s="3"/>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6"/>
      <c r="E852" s="3"/>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6"/>
      <c r="E853" s="3"/>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6"/>
      <c r="E854" s="3"/>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6"/>
      <c r="E855" s="3"/>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6"/>
      <c r="E856" s="3"/>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6"/>
      <c r="E857" s="3"/>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6"/>
      <c r="E858" s="3"/>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6"/>
      <c r="E859" s="3"/>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6"/>
      <c r="E860" s="3"/>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6"/>
      <c r="E861" s="3"/>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6"/>
      <c r="E862" s="3"/>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6"/>
      <c r="E863" s="3"/>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6"/>
      <c r="E864" s="3"/>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6"/>
      <c r="E865" s="3"/>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6"/>
      <c r="E866" s="3"/>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6"/>
      <c r="E867" s="3"/>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6"/>
      <c r="E868" s="3"/>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6"/>
      <c r="E869" s="3"/>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6"/>
      <c r="E870" s="3"/>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6"/>
      <c r="E871" s="3"/>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6"/>
      <c r="E872" s="3"/>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6"/>
      <c r="E873" s="3"/>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6"/>
      <c r="E874" s="3"/>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6"/>
      <c r="E875" s="3"/>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6"/>
      <c r="E876" s="3"/>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6"/>
      <c r="E877" s="3"/>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6"/>
      <c r="E878" s="3"/>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6"/>
      <c r="E879" s="3"/>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6"/>
      <c r="E880" s="3"/>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6"/>
      <c r="E881" s="3"/>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6"/>
      <c r="E882" s="3"/>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6"/>
      <c r="E883" s="3"/>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6"/>
      <c r="E884" s="3"/>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6"/>
      <c r="E885" s="3"/>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6"/>
      <c r="E886" s="3"/>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6"/>
      <c r="E887" s="3"/>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6"/>
      <c r="E888" s="3"/>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6"/>
      <c r="E889" s="3"/>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6"/>
      <c r="E890" s="3"/>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6"/>
      <c r="E891" s="3"/>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6"/>
      <c r="E892" s="3"/>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6"/>
      <c r="E893" s="3"/>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6"/>
      <c r="E894" s="3"/>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6"/>
      <c r="E895" s="3"/>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6"/>
      <c r="E896" s="3"/>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6"/>
      <c r="E897" s="3"/>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6"/>
      <c r="E898" s="3"/>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6"/>
      <c r="E899" s="3"/>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6"/>
      <c r="E900" s="3"/>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6"/>
      <c r="E901" s="3"/>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6"/>
      <c r="E902" s="3"/>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6"/>
      <c r="E903" s="3"/>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6"/>
      <c r="E904" s="3"/>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6"/>
      <c r="E905" s="3"/>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6"/>
      <c r="E906" s="3"/>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6"/>
      <c r="E907" s="3"/>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6"/>
      <c r="E908" s="3"/>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6"/>
      <c r="E909" s="3"/>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6"/>
      <c r="E910" s="3"/>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6"/>
      <c r="E911" s="3"/>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6"/>
      <c r="E912" s="3"/>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6"/>
      <c r="E913" s="3"/>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6"/>
      <c r="E914" s="3"/>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6"/>
      <c r="E915" s="3"/>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6"/>
      <c r="E916" s="3"/>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6"/>
      <c r="E917" s="3"/>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6"/>
      <c r="E918" s="3"/>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6"/>
      <c r="E919" s="3"/>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6"/>
      <c r="E920" s="3"/>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6"/>
      <c r="E921" s="3"/>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6"/>
      <c r="E922" s="3"/>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6"/>
      <c r="E923" s="3"/>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6"/>
      <c r="E924" s="3"/>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6"/>
      <c r="E925" s="3"/>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6"/>
      <c r="E926" s="3"/>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6"/>
      <c r="E927" s="3"/>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6"/>
      <c r="E928" s="3"/>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6"/>
      <c r="E929" s="3"/>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6"/>
      <c r="E930" s="3"/>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6"/>
      <c r="E931" s="3"/>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6"/>
      <c r="E932" s="3"/>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6"/>
      <c r="E933" s="3"/>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6"/>
      <c r="E934" s="3"/>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6"/>
      <c r="E935" s="3"/>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6"/>
      <c r="E936" s="3"/>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6"/>
      <c r="E937" s="3"/>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6"/>
      <c r="E938" s="3"/>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6"/>
      <c r="E939" s="3"/>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6"/>
      <c r="E940" s="3"/>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6"/>
      <c r="E941" s="3"/>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6"/>
      <c r="E942" s="3"/>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6"/>
      <c r="E943" s="3"/>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6"/>
      <c r="E944" s="3"/>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6"/>
      <c r="E945" s="3"/>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6"/>
      <c r="E946" s="3"/>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6"/>
      <c r="E947" s="3"/>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6"/>
      <c r="E948" s="3"/>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6"/>
      <c r="E949" s="3"/>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6"/>
      <c r="E950" s="3"/>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6"/>
      <c r="E951" s="3"/>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6"/>
      <c r="E952" s="3"/>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6"/>
      <c r="E953" s="3"/>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6"/>
      <c r="E954" s="3"/>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6"/>
      <c r="E955" s="3"/>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6"/>
      <c r="E956" s="3"/>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6"/>
      <c r="E957" s="3"/>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6"/>
      <c r="E958" s="3"/>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6"/>
      <c r="E959" s="3"/>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6"/>
      <c r="E960" s="3"/>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6"/>
      <c r="E961" s="3"/>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6"/>
      <c r="E962" s="3"/>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6"/>
      <c r="E963" s="3"/>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6"/>
      <c r="E964" s="3"/>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6"/>
      <c r="E965" s="3"/>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6"/>
      <c r="E966" s="3"/>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6"/>
      <c r="E967" s="3"/>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6"/>
      <c r="E968" s="3"/>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6"/>
      <c r="E969" s="3"/>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6"/>
      <c r="E970" s="3"/>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6"/>
      <c r="E971" s="3"/>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6"/>
      <c r="E972" s="3"/>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6"/>
      <c r="E973" s="3"/>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6"/>
      <c r="E974" s="3"/>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6"/>
      <c r="E975" s="3"/>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6"/>
      <c r="E976" s="3"/>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6"/>
      <c r="E977" s="3"/>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6"/>
      <c r="E978" s="3"/>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6"/>
      <c r="E979" s="3"/>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6"/>
      <c r="E980" s="3"/>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6"/>
      <c r="E981" s="3"/>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6"/>
      <c r="E982" s="3"/>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6"/>
      <c r="E983" s="3"/>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6"/>
      <c r="E984" s="3"/>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6"/>
      <c r="E985" s="3"/>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6"/>
      <c r="E986" s="3"/>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6"/>
      <c r="E987" s="3"/>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6"/>
      <c r="E988" s="3"/>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6"/>
      <c r="E989" s="3"/>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6"/>
      <c r="E990" s="3"/>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6"/>
      <c r="E991" s="3"/>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6"/>
      <c r="E992" s="3"/>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6"/>
      <c r="E993" s="3"/>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6"/>
      <c r="E994" s="3"/>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6"/>
      <c r="E995" s="3"/>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6"/>
      <c r="E996" s="3"/>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6"/>
      <c r="E997" s="3"/>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6"/>
      <c r="E998" s="3"/>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6"/>
      <c r="E999" s="3"/>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6"/>
      <c r="E1000" s="3"/>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defaultColWidth="12.5703125" defaultRowHeight="15" customHeight="1" x14ac:dyDescent="0.25"/>
  <cols>
    <col min="1" max="1" width="42.85546875" customWidth="1"/>
    <col min="2" max="2" width="3" customWidth="1"/>
    <col min="3" max="5" width="10.5703125" customWidth="1"/>
    <col min="6" max="7" width="10" customWidth="1"/>
    <col min="8" max="8" width="42.85546875" customWidth="1"/>
    <col min="9" max="24" width="3.7109375" customWidth="1"/>
    <col min="25" max="26" width="10.5703125" customWidth="1"/>
  </cols>
  <sheetData>
    <row r="1" spans="1:25" ht="226.5" x14ac:dyDescent="0.25">
      <c r="G1" s="11"/>
      <c r="I1" s="12" t="s">
        <v>56</v>
      </c>
      <c r="J1" s="12" t="s">
        <v>57</v>
      </c>
      <c r="K1" s="12" t="s">
        <v>4</v>
      </c>
      <c r="L1" s="12" t="s">
        <v>6</v>
      </c>
      <c r="M1" s="12" t="s">
        <v>58</v>
      </c>
      <c r="N1" s="12" t="s">
        <v>42</v>
      </c>
      <c r="O1" s="12" t="s">
        <v>59</v>
      </c>
      <c r="P1" s="12" t="s">
        <v>46</v>
      </c>
      <c r="Q1" s="12" t="s">
        <v>48</v>
      </c>
      <c r="R1" s="12" t="s">
        <v>50</v>
      </c>
      <c r="S1" s="12" t="s">
        <v>52</v>
      </c>
      <c r="T1" s="12" t="s">
        <v>14</v>
      </c>
      <c r="U1" s="12" t="s">
        <v>18</v>
      </c>
      <c r="V1" s="12" t="s">
        <v>20</v>
      </c>
      <c r="W1" s="12" t="s">
        <v>22</v>
      </c>
      <c r="X1" s="12" t="s">
        <v>24</v>
      </c>
      <c r="Y1" s="12"/>
    </row>
    <row r="2" spans="1:25" x14ac:dyDescent="0.25">
      <c r="C2" s="11" t="s">
        <v>60</v>
      </c>
      <c r="D2" s="11" t="s">
        <v>61</v>
      </c>
      <c r="E2" s="11" t="s">
        <v>62</v>
      </c>
      <c r="F2" s="11" t="s">
        <v>63</v>
      </c>
      <c r="H2" s="13" t="s">
        <v>56</v>
      </c>
      <c r="I2" s="14"/>
      <c r="J2" s="13" t="s">
        <v>64</v>
      </c>
      <c r="K2" s="13" t="s">
        <v>64</v>
      </c>
      <c r="L2" s="13" t="s">
        <v>65</v>
      </c>
      <c r="M2" s="13" t="s">
        <v>64</v>
      </c>
      <c r="N2" s="13" t="s">
        <v>64</v>
      </c>
      <c r="O2" s="13" t="s">
        <v>64</v>
      </c>
      <c r="S2" s="13" t="s">
        <v>65</v>
      </c>
      <c r="T2" s="13" t="s">
        <v>64</v>
      </c>
      <c r="U2" s="13" t="s">
        <v>64</v>
      </c>
      <c r="V2" s="13" t="s">
        <v>64</v>
      </c>
      <c r="W2" s="13" t="s">
        <v>64</v>
      </c>
      <c r="X2" s="13" t="s">
        <v>64</v>
      </c>
    </row>
    <row r="3" spans="1:25" x14ac:dyDescent="0.25">
      <c r="A3" s="11" t="s">
        <v>56</v>
      </c>
      <c r="B3" s="13">
        <v>6</v>
      </c>
      <c r="C3" s="15" t="s">
        <v>64</v>
      </c>
      <c r="D3" s="15" t="s">
        <v>65</v>
      </c>
      <c r="E3" s="15" t="s">
        <v>64</v>
      </c>
      <c r="H3" s="13" t="s">
        <v>57</v>
      </c>
      <c r="I3" s="13" t="s">
        <v>64</v>
      </c>
      <c r="J3" s="14"/>
      <c r="K3" s="13" t="s">
        <v>64</v>
      </c>
      <c r="L3" s="13" t="s">
        <v>64</v>
      </c>
      <c r="M3" s="13" t="s">
        <v>64</v>
      </c>
      <c r="N3" s="13" t="s">
        <v>65</v>
      </c>
      <c r="O3" s="13" t="s">
        <v>65</v>
      </c>
      <c r="S3" s="13" t="s">
        <v>65</v>
      </c>
      <c r="T3" s="13" t="s">
        <v>65</v>
      </c>
      <c r="U3" s="13" t="s">
        <v>65</v>
      </c>
      <c r="V3" s="13" t="s">
        <v>65</v>
      </c>
      <c r="W3" s="13" t="s">
        <v>65</v>
      </c>
      <c r="X3" s="13" t="s">
        <v>65</v>
      </c>
    </row>
    <row r="4" spans="1:25" x14ac:dyDescent="0.25">
      <c r="A4" s="11" t="s">
        <v>57</v>
      </c>
      <c r="B4" s="13">
        <v>6</v>
      </c>
      <c r="C4" s="15" t="s">
        <v>64</v>
      </c>
      <c r="D4" s="15"/>
      <c r="E4" s="15"/>
      <c r="F4" s="13" t="s">
        <v>66</v>
      </c>
      <c r="H4" s="13" t="s">
        <v>4</v>
      </c>
      <c r="I4" s="13" t="s">
        <v>64</v>
      </c>
      <c r="J4" s="13" t="s">
        <v>64</v>
      </c>
      <c r="K4" s="14"/>
      <c r="L4" s="13" t="s">
        <v>64</v>
      </c>
      <c r="M4" s="13" t="s">
        <v>64</v>
      </c>
      <c r="N4" s="13" t="s">
        <v>65</v>
      </c>
      <c r="O4" s="13" t="s">
        <v>65</v>
      </c>
      <c r="P4" s="13" t="s">
        <v>64</v>
      </c>
      <c r="Q4" s="13" t="s">
        <v>64</v>
      </c>
      <c r="R4" s="13" t="s">
        <v>64</v>
      </c>
      <c r="S4" s="13" t="s">
        <v>65</v>
      </c>
      <c r="T4" s="13" t="s">
        <v>64</v>
      </c>
      <c r="U4" s="13" t="s">
        <v>65</v>
      </c>
      <c r="V4" s="13" t="s">
        <v>65</v>
      </c>
      <c r="W4" s="13" t="s">
        <v>65</v>
      </c>
      <c r="X4" s="13" t="s">
        <v>65</v>
      </c>
    </row>
    <row r="5" spans="1:25" x14ac:dyDescent="0.25">
      <c r="A5" s="11" t="s">
        <v>4</v>
      </c>
      <c r="B5" s="13">
        <v>6</v>
      </c>
      <c r="C5" s="15" t="s">
        <v>64</v>
      </c>
      <c r="D5" s="15"/>
      <c r="E5" s="15"/>
      <c r="F5" s="13" t="s">
        <v>67</v>
      </c>
      <c r="H5" s="13" t="s">
        <v>6</v>
      </c>
      <c r="I5" s="13" t="s">
        <v>65</v>
      </c>
      <c r="J5" s="13" t="s">
        <v>64</v>
      </c>
      <c r="K5" s="13" t="s">
        <v>64</v>
      </c>
      <c r="L5" s="14"/>
      <c r="Q5" s="13" t="s">
        <v>64</v>
      </c>
      <c r="R5" s="13" t="s">
        <v>64</v>
      </c>
      <c r="S5" s="13" t="s">
        <v>64</v>
      </c>
      <c r="T5" s="13" t="s">
        <v>65</v>
      </c>
      <c r="U5" s="13" t="s">
        <v>68</v>
      </c>
      <c r="V5" s="13" t="s">
        <v>68</v>
      </c>
      <c r="W5" s="13" t="s">
        <v>68</v>
      </c>
      <c r="X5" s="13" t="s">
        <v>68</v>
      </c>
    </row>
    <row r="6" spans="1:25" x14ac:dyDescent="0.25">
      <c r="A6" s="11" t="s">
        <v>6</v>
      </c>
      <c r="B6" s="13">
        <v>6</v>
      </c>
      <c r="C6" s="15" t="s">
        <v>64</v>
      </c>
      <c r="D6" s="15"/>
      <c r="E6" s="15"/>
      <c r="F6" s="13" t="s">
        <v>66</v>
      </c>
      <c r="H6" s="13" t="s">
        <v>58</v>
      </c>
      <c r="I6" s="13" t="s">
        <v>64</v>
      </c>
      <c r="J6" s="13" t="s">
        <v>64</v>
      </c>
      <c r="K6" s="13" t="s">
        <v>64</v>
      </c>
      <c r="M6" s="14"/>
      <c r="N6" s="13" t="s">
        <v>65</v>
      </c>
      <c r="O6" s="13" t="s">
        <v>65</v>
      </c>
      <c r="T6" s="13" t="s">
        <v>65</v>
      </c>
      <c r="U6" s="13" t="s">
        <v>65</v>
      </c>
      <c r="V6" s="13" t="s">
        <v>65</v>
      </c>
      <c r="W6" s="13" t="s">
        <v>65</v>
      </c>
      <c r="X6" s="13" t="s">
        <v>65</v>
      </c>
    </row>
    <row r="7" spans="1:25" x14ac:dyDescent="0.25">
      <c r="A7" s="11" t="s">
        <v>58</v>
      </c>
      <c r="B7" s="13">
        <v>6</v>
      </c>
      <c r="C7" s="15" t="s">
        <v>64</v>
      </c>
      <c r="D7" s="15"/>
      <c r="E7" s="15"/>
      <c r="F7" s="13" t="s">
        <v>66</v>
      </c>
      <c r="H7" s="13" t="s">
        <v>42</v>
      </c>
      <c r="I7" s="13" t="s">
        <v>64</v>
      </c>
      <c r="J7" s="13" t="s">
        <v>65</v>
      </c>
      <c r="K7" s="13" t="s">
        <v>65</v>
      </c>
      <c r="M7" s="13" t="s">
        <v>65</v>
      </c>
      <c r="N7" s="14"/>
      <c r="T7" s="13" t="s">
        <v>64</v>
      </c>
      <c r="U7" s="13" t="s">
        <v>64</v>
      </c>
      <c r="V7" s="13" t="s">
        <v>64</v>
      </c>
      <c r="W7" s="13" t="s">
        <v>64</v>
      </c>
      <c r="X7" s="13" t="s">
        <v>64</v>
      </c>
    </row>
    <row r="8" spans="1:25" x14ac:dyDescent="0.25">
      <c r="A8" s="11" t="s">
        <v>42</v>
      </c>
      <c r="B8" s="13">
        <v>6</v>
      </c>
      <c r="C8" s="15" t="s">
        <v>64</v>
      </c>
      <c r="D8" s="15" t="s">
        <v>65</v>
      </c>
      <c r="E8" s="15"/>
      <c r="F8" s="13" t="s">
        <v>66</v>
      </c>
      <c r="H8" s="13" t="s">
        <v>59</v>
      </c>
      <c r="I8" s="13" t="s">
        <v>64</v>
      </c>
      <c r="J8" s="13" t="s">
        <v>65</v>
      </c>
      <c r="K8" s="13" t="s">
        <v>65</v>
      </c>
      <c r="M8" s="13" t="s">
        <v>65</v>
      </c>
      <c r="O8" s="14"/>
      <c r="T8" s="13" t="s">
        <v>64</v>
      </c>
      <c r="U8" s="13" t="s">
        <v>64</v>
      </c>
      <c r="V8" s="13" t="s">
        <v>64</v>
      </c>
      <c r="W8" s="13" t="s">
        <v>64</v>
      </c>
      <c r="X8" s="13" t="s">
        <v>64</v>
      </c>
    </row>
    <row r="9" spans="1:25" x14ac:dyDescent="0.25">
      <c r="A9" s="11" t="s">
        <v>59</v>
      </c>
      <c r="B9" s="13">
        <v>6</v>
      </c>
      <c r="C9" s="15" t="s">
        <v>64</v>
      </c>
      <c r="D9" s="15" t="s">
        <v>65</v>
      </c>
      <c r="E9" s="15"/>
      <c r="F9" s="13" t="s">
        <v>66</v>
      </c>
      <c r="H9" s="13" t="s">
        <v>46</v>
      </c>
      <c r="K9" s="13" t="s">
        <v>64</v>
      </c>
      <c r="P9" s="14"/>
      <c r="Q9" s="13" t="s">
        <v>64</v>
      </c>
      <c r="R9" s="13" t="s">
        <v>64</v>
      </c>
      <c r="T9" s="13" t="s">
        <v>65</v>
      </c>
      <c r="U9" s="13" t="s">
        <v>65</v>
      </c>
      <c r="V9" s="13" t="s">
        <v>65</v>
      </c>
      <c r="W9" s="13" t="s">
        <v>65</v>
      </c>
      <c r="X9" s="13" t="s">
        <v>65</v>
      </c>
    </row>
    <row r="10" spans="1:25" x14ac:dyDescent="0.25">
      <c r="A10" s="11" t="s">
        <v>46</v>
      </c>
      <c r="B10" s="13">
        <v>4</v>
      </c>
      <c r="C10" s="15"/>
      <c r="D10" s="15" t="s">
        <v>64</v>
      </c>
      <c r="E10" s="15"/>
      <c r="F10" s="13" t="s">
        <v>66</v>
      </c>
      <c r="H10" s="13" t="s">
        <v>48</v>
      </c>
      <c r="K10" s="13" t="s">
        <v>64</v>
      </c>
      <c r="L10" s="13" t="s">
        <v>64</v>
      </c>
      <c r="P10" s="13" t="s">
        <v>64</v>
      </c>
      <c r="Q10" s="14"/>
      <c r="R10" s="13" t="s">
        <v>64</v>
      </c>
      <c r="S10" s="13" t="s">
        <v>64</v>
      </c>
      <c r="T10" s="13" t="s">
        <v>64</v>
      </c>
      <c r="U10" s="13" t="s">
        <v>65</v>
      </c>
      <c r="V10" s="13" t="s">
        <v>65</v>
      </c>
      <c r="W10" s="13" t="s">
        <v>65</v>
      </c>
      <c r="X10" s="13" t="s">
        <v>65</v>
      </c>
    </row>
    <row r="11" spans="1:25" x14ac:dyDescent="0.25">
      <c r="A11" s="11" t="s">
        <v>48</v>
      </c>
      <c r="B11" s="13">
        <v>6</v>
      </c>
      <c r="C11" s="15"/>
      <c r="D11" s="15" t="s">
        <v>64</v>
      </c>
      <c r="E11" s="15"/>
      <c r="F11" s="13" t="s">
        <v>66</v>
      </c>
      <c r="H11" s="13" t="s">
        <v>50</v>
      </c>
      <c r="K11" s="13" t="s">
        <v>64</v>
      </c>
      <c r="L11" s="13" t="s">
        <v>64</v>
      </c>
      <c r="P11" s="13" t="s">
        <v>64</v>
      </c>
      <c r="Q11" s="13" t="s">
        <v>64</v>
      </c>
      <c r="R11" s="14"/>
      <c r="S11" s="13" t="s">
        <v>64</v>
      </c>
      <c r="T11" s="13" t="s">
        <v>64</v>
      </c>
      <c r="U11" s="13" t="s">
        <v>65</v>
      </c>
      <c r="V11" s="13" t="s">
        <v>65</v>
      </c>
      <c r="W11" s="13" t="s">
        <v>65</v>
      </c>
      <c r="X11" s="13" t="s">
        <v>65</v>
      </c>
    </row>
    <row r="12" spans="1:25" x14ac:dyDescent="0.25">
      <c r="A12" s="11" t="s">
        <v>50</v>
      </c>
      <c r="B12" s="13">
        <v>6</v>
      </c>
      <c r="C12" s="15"/>
      <c r="D12" s="15" t="s">
        <v>64</v>
      </c>
      <c r="E12" s="15"/>
      <c r="F12" s="13" t="s">
        <v>66</v>
      </c>
      <c r="H12" s="13" t="s">
        <v>52</v>
      </c>
      <c r="I12" s="13" t="s">
        <v>65</v>
      </c>
      <c r="J12" s="13" t="s">
        <v>65</v>
      </c>
      <c r="K12" s="13" t="s">
        <v>65</v>
      </c>
      <c r="L12" s="13" t="s">
        <v>64</v>
      </c>
      <c r="M12" s="13" t="s">
        <v>65</v>
      </c>
      <c r="Q12" s="13" t="s">
        <v>64</v>
      </c>
      <c r="R12" s="13" t="s">
        <v>64</v>
      </c>
      <c r="S12" s="14"/>
      <c r="T12" s="13" t="s">
        <v>64</v>
      </c>
      <c r="U12" s="13" t="s">
        <v>65</v>
      </c>
      <c r="V12" s="13" t="s">
        <v>65</v>
      </c>
      <c r="W12" s="13" t="s">
        <v>65</v>
      </c>
      <c r="X12" s="13" t="s">
        <v>65</v>
      </c>
    </row>
    <row r="13" spans="1:25" x14ac:dyDescent="0.25">
      <c r="A13" s="11" t="s">
        <v>52</v>
      </c>
      <c r="B13" s="13">
        <v>6</v>
      </c>
      <c r="C13" s="15"/>
      <c r="D13" s="15" t="s">
        <v>64</v>
      </c>
      <c r="E13" s="15"/>
      <c r="H13" s="13" t="s">
        <v>14</v>
      </c>
      <c r="I13" s="13" t="s">
        <v>64</v>
      </c>
      <c r="J13" s="13" t="s">
        <v>65</v>
      </c>
      <c r="K13" s="13" t="s">
        <v>64</v>
      </c>
      <c r="L13" s="13" t="s">
        <v>65</v>
      </c>
      <c r="M13" s="13" t="s">
        <v>65</v>
      </c>
      <c r="N13" s="13" t="s">
        <v>64</v>
      </c>
      <c r="O13" s="13" t="s">
        <v>64</v>
      </c>
      <c r="P13" s="13" t="s">
        <v>65</v>
      </c>
      <c r="Q13" s="13" t="s">
        <v>64</v>
      </c>
      <c r="R13" s="13" t="s">
        <v>64</v>
      </c>
      <c r="S13" s="13" t="s">
        <v>64</v>
      </c>
      <c r="T13" s="14"/>
      <c r="U13" s="13" t="s">
        <v>64</v>
      </c>
      <c r="V13" s="13" t="s">
        <v>64</v>
      </c>
      <c r="W13" s="13" t="s">
        <v>64</v>
      </c>
      <c r="X13" s="13" t="s">
        <v>64</v>
      </c>
    </row>
    <row r="14" spans="1:25" x14ac:dyDescent="0.25">
      <c r="A14" s="11" t="s">
        <v>14</v>
      </c>
      <c r="B14" s="13">
        <v>6</v>
      </c>
      <c r="C14" s="15" t="s">
        <v>64</v>
      </c>
      <c r="D14" s="15" t="s">
        <v>64</v>
      </c>
      <c r="E14" s="15" t="s">
        <v>64</v>
      </c>
      <c r="F14" s="13" t="s">
        <v>69</v>
      </c>
      <c r="H14" s="13" t="s">
        <v>18</v>
      </c>
      <c r="I14" s="13" t="s">
        <v>64</v>
      </c>
      <c r="J14" s="13" t="s">
        <v>65</v>
      </c>
      <c r="K14" s="13" t="s">
        <v>65</v>
      </c>
      <c r="L14" s="13" t="s">
        <v>68</v>
      </c>
      <c r="M14" s="13" t="s">
        <v>65</v>
      </c>
      <c r="N14" s="13" t="s">
        <v>64</v>
      </c>
      <c r="O14" s="13" t="s">
        <v>64</v>
      </c>
      <c r="P14" s="13" t="s">
        <v>65</v>
      </c>
      <c r="Q14" s="13" t="s">
        <v>65</v>
      </c>
      <c r="R14" s="13" t="s">
        <v>65</v>
      </c>
      <c r="S14" s="13" t="s">
        <v>65</v>
      </c>
      <c r="T14" s="13" t="s">
        <v>64</v>
      </c>
      <c r="U14" s="14"/>
      <c r="V14" s="13" t="s">
        <v>64</v>
      </c>
      <c r="W14" s="13" t="s">
        <v>64</v>
      </c>
      <c r="X14" s="13" t="s">
        <v>64</v>
      </c>
    </row>
    <row r="15" spans="1:25" x14ac:dyDescent="0.25">
      <c r="A15" s="11" t="s">
        <v>18</v>
      </c>
      <c r="B15" s="13">
        <v>6</v>
      </c>
      <c r="C15" s="15" t="s">
        <v>64</v>
      </c>
      <c r="D15" s="15" t="s">
        <v>64</v>
      </c>
      <c r="E15" s="15" t="s">
        <v>64</v>
      </c>
      <c r="F15" s="13" t="s">
        <v>69</v>
      </c>
      <c r="H15" s="13" t="s">
        <v>20</v>
      </c>
      <c r="I15" s="13" t="s">
        <v>64</v>
      </c>
      <c r="J15" s="13" t="s">
        <v>65</v>
      </c>
      <c r="K15" s="13" t="s">
        <v>65</v>
      </c>
      <c r="L15" s="13" t="s">
        <v>68</v>
      </c>
      <c r="M15" s="13" t="s">
        <v>65</v>
      </c>
      <c r="N15" s="13" t="s">
        <v>64</v>
      </c>
      <c r="O15" s="13" t="s">
        <v>64</v>
      </c>
      <c r="P15" s="13" t="s">
        <v>65</v>
      </c>
      <c r="Q15" s="13" t="s">
        <v>65</v>
      </c>
      <c r="R15" s="13" t="s">
        <v>65</v>
      </c>
      <c r="S15" s="13" t="s">
        <v>65</v>
      </c>
      <c r="T15" s="13" t="s">
        <v>64</v>
      </c>
      <c r="U15" s="13" t="s">
        <v>64</v>
      </c>
      <c r="V15" s="14"/>
      <c r="W15" s="13" t="s">
        <v>64</v>
      </c>
      <c r="X15" s="13" t="s">
        <v>64</v>
      </c>
    </row>
    <row r="16" spans="1:25" x14ac:dyDescent="0.25">
      <c r="A16" s="11" t="s">
        <v>20</v>
      </c>
      <c r="B16" s="13">
        <v>6</v>
      </c>
      <c r="C16" s="15" t="s">
        <v>64</v>
      </c>
      <c r="D16" s="15" t="s">
        <v>64</v>
      </c>
      <c r="E16" s="15" t="s">
        <v>64</v>
      </c>
      <c r="F16" s="13" t="s">
        <v>69</v>
      </c>
      <c r="H16" s="13" t="s">
        <v>22</v>
      </c>
      <c r="I16" s="13" t="s">
        <v>64</v>
      </c>
      <c r="J16" s="13" t="s">
        <v>65</v>
      </c>
      <c r="K16" s="13" t="s">
        <v>65</v>
      </c>
      <c r="L16" s="13" t="s">
        <v>68</v>
      </c>
      <c r="M16" s="13" t="s">
        <v>65</v>
      </c>
      <c r="N16" s="13" t="s">
        <v>64</v>
      </c>
      <c r="O16" s="13" t="s">
        <v>64</v>
      </c>
      <c r="P16" s="13" t="s">
        <v>65</v>
      </c>
      <c r="Q16" s="13" t="s">
        <v>65</v>
      </c>
      <c r="R16" s="13" t="s">
        <v>65</v>
      </c>
      <c r="S16" s="13" t="s">
        <v>65</v>
      </c>
      <c r="T16" s="13" t="s">
        <v>64</v>
      </c>
      <c r="U16" s="13" t="s">
        <v>64</v>
      </c>
      <c r="V16" s="13" t="s">
        <v>64</v>
      </c>
      <c r="W16" s="14"/>
      <c r="X16" s="13" t="s">
        <v>64</v>
      </c>
    </row>
    <row r="17" spans="1:24" x14ac:dyDescent="0.25">
      <c r="A17" s="11" t="s">
        <v>22</v>
      </c>
      <c r="B17" s="13">
        <v>6</v>
      </c>
      <c r="C17" s="15" t="s">
        <v>64</v>
      </c>
      <c r="D17" s="15" t="s">
        <v>64</v>
      </c>
      <c r="E17" s="15" t="s">
        <v>64</v>
      </c>
      <c r="F17" s="13" t="s">
        <v>69</v>
      </c>
      <c r="H17" s="13" t="s">
        <v>24</v>
      </c>
      <c r="I17" s="13" t="s">
        <v>64</v>
      </c>
      <c r="J17" s="13" t="s">
        <v>65</v>
      </c>
      <c r="K17" s="13" t="s">
        <v>65</v>
      </c>
      <c r="L17" s="13" t="s">
        <v>68</v>
      </c>
      <c r="M17" s="13" t="s">
        <v>65</v>
      </c>
      <c r="N17" s="13" t="s">
        <v>64</v>
      </c>
      <c r="O17" s="13" t="s">
        <v>64</v>
      </c>
      <c r="P17" s="13" t="s">
        <v>65</v>
      </c>
      <c r="Q17" s="13" t="s">
        <v>65</v>
      </c>
      <c r="R17" s="13" t="s">
        <v>65</v>
      </c>
      <c r="S17" s="13" t="s">
        <v>65</v>
      </c>
      <c r="T17" s="13" t="s">
        <v>64</v>
      </c>
      <c r="U17" s="13" t="s">
        <v>64</v>
      </c>
      <c r="V17" s="13" t="s">
        <v>64</v>
      </c>
      <c r="W17" s="13" t="s">
        <v>64</v>
      </c>
      <c r="X17" s="14"/>
    </row>
    <row r="18" spans="1:24" x14ac:dyDescent="0.25">
      <c r="A18" s="11" t="s">
        <v>24</v>
      </c>
      <c r="B18" s="13">
        <v>6</v>
      </c>
      <c r="C18" s="15" t="s">
        <v>64</v>
      </c>
      <c r="D18" s="15" t="s">
        <v>64</v>
      </c>
      <c r="E18" s="15" t="s">
        <v>64</v>
      </c>
      <c r="F18" s="13" t="s">
        <v>69</v>
      </c>
    </row>
    <row r="19" spans="1:24" x14ac:dyDescent="0.25">
      <c r="B19" s="13">
        <f>SUM(B3:B18)</f>
        <v>94</v>
      </c>
    </row>
    <row r="21" spans="1:24" ht="15.75" customHeight="1" x14ac:dyDescent="0.25"/>
    <row r="22" spans="1:24" ht="15.75" customHeight="1" x14ac:dyDescent="0.25"/>
    <row r="23" spans="1:24" ht="15.75" customHeight="1" x14ac:dyDescent="0.25"/>
    <row r="24" spans="1:24" ht="15.75" customHeight="1" x14ac:dyDescent="0.25"/>
    <row r="25" spans="1:24" ht="15.75" customHeight="1" x14ac:dyDescent="0.25"/>
    <row r="26" spans="1:24" ht="15.75" customHeight="1" x14ac:dyDescent="0.25"/>
    <row r="27" spans="1:24" ht="15.75" customHeight="1" x14ac:dyDescent="0.25"/>
    <row r="28" spans="1:24" ht="15.75" customHeight="1" x14ac:dyDescent="0.25"/>
    <row r="29" spans="1:24" ht="15.75" customHeight="1" x14ac:dyDescent="0.25"/>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2:B10"/>
  <sheetViews>
    <sheetView workbookViewId="0"/>
  </sheetViews>
  <sheetFormatPr defaultColWidth="12.5703125" defaultRowHeight="15" customHeight="1" x14ac:dyDescent="0.25"/>
  <cols>
    <col min="2" max="2" width="93.28515625" customWidth="1"/>
  </cols>
  <sheetData>
    <row r="2" spans="2:2" x14ac:dyDescent="0.25">
      <c r="B2" s="16" t="s">
        <v>70</v>
      </c>
    </row>
    <row r="4" spans="2:2" x14ac:dyDescent="0.25">
      <c r="B4" s="17" t="s">
        <v>71</v>
      </c>
    </row>
    <row r="5" spans="2:2" x14ac:dyDescent="0.25">
      <c r="B5" s="17" t="s">
        <v>72</v>
      </c>
    </row>
    <row r="6" spans="2:2" x14ac:dyDescent="0.25">
      <c r="B6" s="17" t="s">
        <v>73</v>
      </c>
    </row>
    <row r="7" spans="2:2" x14ac:dyDescent="0.25">
      <c r="B7" s="17" t="s">
        <v>74</v>
      </c>
    </row>
    <row r="8" spans="2:2" x14ac:dyDescent="0.25">
      <c r="B8" s="17" t="s">
        <v>75</v>
      </c>
    </row>
    <row r="9" spans="2:2" x14ac:dyDescent="0.25">
      <c r="B9" s="17" t="s">
        <v>76</v>
      </c>
    </row>
    <row r="10" spans="2:2" x14ac:dyDescent="0.25">
      <c r="B10" s="17"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Intrigues générales</vt:lpstr>
      <vt:lpstr>Feuil2</vt:lpstr>
      <vt:lpstr>Reste à régler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JUMEL Eric</dc:creator>
  <cp:lastModifiedBy>Sébastien Dury</cp:lastModifiedBy>
  <dcterms:created xsi:type="dcterms:W3CDTF">2024-11-26T15:08:46Z</dcterms:created>
  <dcterms:modified xsi:type="dcterms:W3CDTF">2026-01-07T14:27:59Z</dcterms:modified>
</cp:coreProperties>
</file>