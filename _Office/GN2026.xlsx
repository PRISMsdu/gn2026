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G:\Mon Drive\JDR\GN\GN2026\"/>
    </mc:Choice>
  </mc:AlternateContent>
  <xr:revisionPtr revIDLastSave="0" documentId="13_ncr:1_{BB516CA6-B849-4496-973A-13404480364E}" xr6:coauthVersionLast="47" xr6:coauthVersionMax="47" xr10:uidLastSave="{00000000-0000-0000-0000-000000000000}"/>
  <bookViews>
    <workbookView xWindow="-120" yWindow="-120" windowWidth="29040" windowHeight="15720" xr2:uid="{80FE587F-03A4-45EE-BE5C-2ED51CB2DBF7}"/>
  </bookViews>
  <sheets>
    <sheet name="Feuil1" sheetId="1" r:id="rId1"/>
    <sheet name="Feuil2" sheetId="2" r:id="rId2"/>
  </sheets>
  <calcPr calcId="191029" iterate="1" concurrentManualCount="16"/>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8" i="1" l="1"/>
  <c r="B19" i="2"/>
  <c r="E17" i="1"/>
  <c r="E45" i="1"/>
  <c r="E24" i="1" l="1"/>
</calcChain>
</file>

<file path=xl/sharedStrings.xml><?xml version="1.0" encoding="utf-8"?>
<sst xmlns="http://schemas.openxmlformats.org/spreadsheetml/2006/main" count="359" uniqueCount="70">
  <si>
    <t>Mafia</t>
  </si>
  <si>
    <t>Intrigue Coffres</t>
  </si>
  <si>
    <t>Réaction des produits dangereux avec l'eau - émanation - empoisonnement - fumigènes</t>
  </si>
  <si>
    <t>Groupe étranger 2</t>
  </si>
  <si>
    <t>Effets secondaires</t>
  </si>
  <si>
    <t>Réveil de la bête qui voudra défendre son trésor et s'attaquer à toute personne en volant</t>
  </si>
  <si>
    <t>Mouvements des dockers</t>
  </si>
  <si>
    <t>Services secrets étrangers (Thanos ?)</t>
  </si>
  <si>
    <t>Mouvements des gilets jaunes - Passeurs/Vigie</t>
  </si>
  <si>
    <t>Représentants d'Il-Irion</t>
  </si>
  <si>
    <t>Indépendantistes</t>
  </si>
  <si>
    <t>Intrigue Attentats/Grèves</t>
  </si>
  <si>
    <t>Représentants de Palyr</t>
  </si>
  <si>
    <t>Représentants de Sfaal</t>
  </si>
  <si>
    <t>Représentants d'Arthas</t>
  </si>
  <si>
    <t>Services d'espionnage des îles</t>
  </si>
  <si>
    <t>+1 contrôleur financier, +1 représentant du service d'espionnage</t>
  </si>
  <si>
    <t>Représentants de Ther-Félis</t>
  </si>
  <si>
    <t>Intrigue commerciale/politique/remplacement Oblat d'Arthas</t>
  </si>
  <si>
    <t>Congrès maritime</t>
  </si>
  <si>
    <t>La Guilde des Navigateurs de la Confédération</t>
  </si>
  <si>
    <t>Viennent faire le casse du siècle, sous couverture de venir au congrès</t>
  </si>
  <si>
    <t>Viennent vérifier l'état de leur marchandise stockée (produits dangereux), viennent au congrès</t>
  </si>
  <si>
    <t>Orga</t>
  </si>
  <si>
    <t>Guilde des coffriers</t>
  </si>
  <si>
    <t>Mercenaires au service des coffriers</t>
  </si>
  <si>
    <t>Gérants du Casino</t>
  </si>
  <si>
    <t>Revendiquent des conditions de vie descente, viennent au congrès pour revendiquer leurs droits, bloquent l'accès aux ports</t>
  </si>
  <si>
    <t>Ce sont eux qui ont pété le système d'écluse des coffres sans en faire exprès, viennent au congrès pour revendiquer leurs droits, bloquent l'accès aux ports</t>
  </si>
  <si>
    <t>Se réunissent pour échanger sur leurs soupçons et les actions à lancer, sur la mort de l'oblat d'Arthas, pour enquêter sur la destruction du système d'écluse</t>
  </si>
  <si>
    <t>participent au congrès, présentent leurs services, demander des comptes à Il-Irion sur la protection des richesses de la confédération</t>
  </si>
  <si>
    <t>Discuter de l'impôt imposé par Styrgie aux caravanes souhaitant rejoindre Ther-Félis par terre, participent au congrès, présentent leurs services, demander des comptes à Il-Irion sur la protection des richesses de la confédération</t>
  </si>
  <si>
    <t>participent au congrès, présentent leurs services, demander des comptes à Il-Irion sur la protection des richesses de la confédération, viennent se plaindre de la qualité déclinante de l'acier de Palyr, utilisé pour confectionner les armes des armées de Sfaal</t>
  </si>
  <si>
    <t>Viennent échanger/négocier avec les dockers et les gilets jaunes, participent au congrès, présentent leurs services (chantiers navals, capitaines, navires marchands), viennent se plaindre à la confédération des méthodes utilisées par Ther-Félis pour leur piquer des clients</t>
  </si>
  <si>
    <t>Viennent demander le déclenchement du pacte de solidarité et de défense commune suite au meurtre de leur oblat / viennent présenter l'oblat remplaçant, participent au congrès, présentent leurs services, demandent des comptes à Il-Irion sur la protection des richesses de la confédération</t>
  </si>
  <si>
    <t>Ont infiltré les dockers et les gilets jaunes, subventionnent les indépendantistes, viennent pour déclencher la phase suivante, ont fait assassiner l'oblat d'Arthas en laissant des traces accusant X</t>
  </si>
  <si>
    <t>Coffres</t>
  </si>
  <si>
    <t>Attentats</t>
  </si>
  <si>
    <t>Politique</t>
  </si>
  <si>
    <t>Congrès</t>
  </si>
  <si>
    <t>D</t>
  </si>
  <si>
    <t>I</t>
  </si>
  <si>
    <t>Groupe de casseurs</t>
  </si>
  <si>
    <t>Visiteurs</t>
  </si>
  <si>
    <t>Hôtes</t>
  </si>
  <si>
    <t>Exposants</t>
  </si>
  <si>
    <t>Veulent l'indépendance d'Il-Irion qui apporte plus aux autres cités que l'inverse, viennent embarquer les dockers, les gilets jaunes, les coffriers (ils sont au courant de leurs détournements de fonds), viennent repérer pour faire sauter le casino</t>
  </si>
  <si>
    <t>Vient relever les compteurs, placer dans les coffres des pièces à charge pour futurs chantages, "recruter" au sein des dockers et des passeurs/vigies, viennent faire chanter certains groupes, viennent au congrès pour détecter de nouvelles opportunités d'expansion, se méfient des indépendentistes</t>
  </si>
  <si>
    <t>?</t>
  </si>
  <si>
    <t>Aquilea</t>
  </si>
  <si>
    <t>Course-Régate à la Star Wars</t>
  </si>
  <si>
    <t>Cocktail d'accueil</t>
  </si>
  <si>
    <t>X</t>
  </si>
  <si>
    <t>Banquiers</t>
  </si>
  <si>
    <t>Groupe de voleurs 1</t>
  </si>
  <si>
    <t>Groupe de voleurs 2</t>
  </si>
  <si>
    <t>Monstres</t>
  </si>
  <si>
    <t>Blanchissent de l'argent pour la mafia, viennent développer leur business (casino) dans les 4 autres îles, ont besoin de placer la recette des jours précédents. Ils ont beaucoup de liquide sur eux…</t>
  </si>
  <si>
    <t>Groupe étranger Mago</t>
  </si>
  <si>
    <t>Viennent affaiblir les 5 îles en libérant le monstre gardien, viennent au congrès pour couverture.</t>
  </si>
  <si>
    <t>Groupe Mercenaires</t>
  </si>
  <si>
    <t>Plusieurs épreuves Koh Lanta</t>
  </si>
  <si>
    <t>Présentation par la confédération, agenda des célébrations, présentation du gros lot par les banquiers</t>
  </si>
  <si>
    <t>CLE</t>
  </si>
  <si>
    <t>EJU</t>
  </si>
  <si>
    <t>Trafiquent les comptes, acceptent de cacher des choses dans leur banque, doivent rendre des comptes.
Milice privée : Détournent de l'argent et des biens, cachent des choses pour le compte de la Mafia, protègent l'accès aux coffres</t>
  </si>
  <si>
    <t>LBI</t>
  </si>
  <si>
    <t>SDU</t>
  </si>
  <si>
    <t>12 groupes</t>
  </si>
  <si>
    <t>EJU + Karl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</si>
</sst>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b/>
      <sz val="11"/>
      <color theme="0"/>
      <name val="Aptos Narrow"/>
      <family val="2"/>
      <scheme val="minor"/>
    </font>
  </fonts>
  <fills count="5">
    <fill>
      <patternFill patternType="none"/>
    </fill>
    <fill>
      <patternFill patternType="gray125"/>
    </fill>
    <fill>
      <patternFill patternType="solid">
        <fgColor rgb="FFFFFF00"/>
        <bgColor indexed="64"/>
      </patternFill>
    </fill>
    <fill>
      <patternFill patternType="solid">
        <fgColor theme="1"/>
        <bgColor indexed="64"/>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13">
    <xf numFmtId="0" fontId="0" fillId="0" borderId="0" xfId="0"/>
    <xf numFmtId="0" fontId="0" fillId="0" borderId="0" xfId="0" applyAlignment="1">
      <alignment wrapText="1"/>
    </xf>
    <xf numFmtId="0" fontId="0" fillId="0" borderId="0" xfId="0" applyAlignment="1">
      <alignment horizontal="left"/>
    </xf>
    <xf numFmtId="0" fontId="0" fillId="2" borderId="0" xfId="0" applyFill="1" applyAlignment="1">
      <alignment horizontal="left"/>
    </xf>
    <xf numFmtId="0" fontId="0" fillId="0" borderId="0" xfId="0" quotePrefix="1"/>
    <xf numFmtId="0" fontId="1" fillId="0" borderId="0" xfId="0" applyFont="1" applyAlignment="1">
      <alignment horizontal="left"/>
    </xf>
    <xf numFmtId="0" fontId="0" fillId="0" borderId="0" xfId="0" applyAlignment="1">
      <alignment textRotation="90"/>
    </xf>
    <xf numFmtId="0" fontId="0" fillId="3" borderId="0" xfId="0" applyFill="1"/>
    <xf numFmtId="0" fontId="1" fillId="0" borderId="0" xfId="0" applyFont="1"/>
    <xf numFmtId="0" fontId="0" fillId="0" borderId="0" xfId="0" applyAlignment="1">
      <alignment horizontal="center"/>
    </xf>
    <xf numFmtId="0" fontId="0" fillId="4" borderId="0" xfId="0" applyFill="1" applyAlignment="1">
      <alignment wrapText="1"/>
    </xf>
    <xf numFmtId="0" fontId="1" fillId="0" borderId="0" xfId="0" applyFont="1" applyAlignment="1">
      <alignment wrapText="1"/>
    </xf>
    <xf numFmtId="0" fontId="2" fillId="3" borderId="0" xfId="0" applyFont="1" applyFill="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CE5A4-702F-4179-B9CC-151062229616}">
  <dimension ref="A1:F45"/>
  <sheetViews>
    <sheetView tabSelected="1" topLeftCell="A9" workbookViewId="0">
      <selection activeCell="D17" sqref="D17"/>
    </sheetView>
  </sheetViews>
  <sheetFormatPr baseColWidth="10" defaultRowHeight="15" x14ac:dyDescent="0.25"/>
  <cols>
    <col min="1" max="1" width="7.5703125" customWidth="1"/>
    <col min="2" max="2" width="49.140625" customWidth="1"/>
    <col min="3" max="3" width="17.5703125" customWidth="1"/>
    <col min="4" max="4" width="95.85546875" style="1" customWidth="1"/>
    <col min="5" max="5" width="11.42578125" style="2"/>
    <col min="6" max="6" width="83.42578125" customWidth="1"/>
  </cols>
  <sheetData>
    <row r="1" spans="1:6" x14ac:dyDescent="0.25">
      <c r="D1" s="11" t="s">
        <v>1</v>
      </c>
      <c r="F1" t="s">
        <v>4</v>
      </c>
    </row>
    <row r="2" spans="1:6" ht="45" x14ac:dyDescent="0.25">
      <c r="B2" t="s">
        <v>53</v>
      </c>
      <c r="C2" t="s">
        <v>63</v>
      </c>
      <c r="D2" s="10" t="s">
        <v>65</v>
      </c>
      <c r="E2" s="2">
        <v>8</v>
      </c>
    </row>
    <row r="3" spans="1:6" ht="56.25" customHeight="1" x14ac:dyDescent="0.25">
      <c r="A3" t="s">
        <v>52</v>
      </c>
      <c r="B3" t="s">
        <v>26</v>
      </c>
      <c r="C3" t="s">
        <v>64</v>
      </c>
      <c r="D3" s="10" t="s">
        <v>57</v>
      </c>
      <c r="E3" s="2">
        <v>6</v>
      </c>
    </row>
    <row r="4" spans="1:6" ht="45" x14ac:dyDescent="0.25">
      <c r="A4" t="s">
        <v>52</v>
      </c>
      <c r="B4" t="s">
        <v>0</v>
      </c>
      <c r="C4" t="s">
        <v>64</v>
      </c>
      <c r="D4" s="10" t="s">
        <v>47</v>
      </c>
      <c r="E4" s="2">
        <v>6</v>
      </c>
    </row>
    <row r="5" spans="1:6" x14ac:dyDescent="0.25">
      <c r="B5" t="s">
        <v>54</v>
      </c>
      <c r="C5" t="s">
        <v>63</v>
      </c>
      <c r="D5" s="10" t="s">
        <v>21</v>
      </c>
      <c r="E5" s="2">
        <v>6</v>
      </c>
    </row>
    <row r="6" spans="1:6" x14ac:dyDescent="0.25">
      <c r="B6" t="s">
        <v>55</v>
      </c>
      <c r="C6" t="s">
        <v>63</v>
      </c>
      <c r="D6" s="10" t="s">
        <v>21</v>
      </c>
      <c r="E6" s="2">
        <v>6</v>
      </c>
    </row>
    <row r="8" spans="1:6" x14ac:dyDescent="0.25">
      <c r="E8" s="5">
        <f>SUM(E2:E6)</f>
        <v>32</v>
      </c>
    </row>
    <row r="11" spans="1:6" x14ac:dyDescent="0.25">
      <c r="D11" s="11" t="s">
        <v>18</v>
      </c>
    </row>
    <row r="12" spans="1:6" ht="45" x14ac:dyDescent="0.25">
      <c r="B12" t="s">
        <v>9</v>
      </c>
      <c r="C12" t="s">
        <v>66</v>
      </c>
      <c r="D12" s="10" t="s">
        <v>33</v>
      </c>
      <c r="E12" s="2">
        <v>6</v>
      </c>
      <c r="F12" s="4" t="s">
        <v>16</v>
      </c>
    </row>
    <row r="13" spans="1:6" ht="45" x14ac:dyDescent="0.25">
      <c r="B13" t="s">
        <v>13</v>
      </c>
      <c r="C13" t="s">
        <v>67</v>
      </c>
      <c r="D13" s="10" t="s">
        <v>32</v>
      </c>
      <c r="E13" s="2">
        <v>6</v>
      </c>
      <c r="F13" s="4" t="s">
        <v>16</v>
      </c>
    </row>
    <row r="14" spans="1:6" ht="30" x14ac:dyDescent="0.25">
      <c r="B14" t="s">
        <v>12</v>
      </c>
      <c r="C14" t="s">
        <v>67</v>
      </c>
      <c r="D14" s="10" t="s">
        <v>30</v>
      </c>
      <c r="E14" s="2">
        <v>6</v>
      </c>
      <c r="F14" s="4" t="s">
        <v>16</v>
      </c>
    </row>
    <row r="15" spans="1:6" ht="45" x14ac:dyDescent="0.25">
      <c r="B15" t="s">
        <v>14</v>
      </c>
      <c r="C15" t="s">
        <v>66</v>
      </c>
      <c r="D15" s="10" t="s">
        <v>34</v>
      </c>
      <c r="E15" s="2">
        <v>6</v>
      </c>
      <c r="F15" s="4" t="s">
        <v>16</v>
      </c>
    </row>
    <row r="16" spans="1:6" ht="45" x14ac:dyDescent="0.25">
      <c r="B16" t="s">
        <v>17</v>
      </c>
      <c r="C16" t="s">
        <v>66</v>
      </c>
      <c r="D16" s="10" t="s">
        <v>31</v>
      </c>
      <c r="E16" s="2">
        <v>6</v>
      </c>
      <c r="F16" s="4" t="s">
        <v>16</v>
      </c>
    </row>
    <row r="17" spans="2:6" x14ac:dyDescent="0.25">
      <c r="E17" s="5">
        <f>SUM(E12:E16)</f>
        <v>30</v>
      </c>
    </row>
    <row r="18" spans="2:6" x14ac:dyDescent="0.25">
      <c r="E18" s="5"/>
    </row>
    <row r="19" spans="2:6" x14ac:dyDescent="0.25">
      <c r="D19" s="1" t="s">
        <v>56</v>
      </c>
      <c r="E19" s="5"/>
    </row>
    <row r="20" spans="2:6" x14ac:dyDescent="0.25">
      <c r="B20" t="s">
        <v>58</v>
      </c>
      <c r="C20" t="s">
        <v>64</v>
      </c>
      <c r="D20" s="1" t="s">
        <v>59</v>
      </c>
      <c r="E20" s="2">
        <v>6</v>
      </c>
      <c r="F20" t="s">
        <v>5</v>
      </c>
    </row>
    <row r="22" spans="2:6" x14ac:dyDescent="0.25">
      <c r="B22" t="s">
        <v>60</v>
      </c>
      <c r="C22" t="s">
        <v>67</v>
      </c>
      <c r="E22" s="2">
        <v>6</v>
      </c>
    </row>
    <row r="24" spans="2:6" x14ac:dyDescent="0.25">
      <c r="E24" s="12">
        <f>E8+E17+E20+E22</f>
        <v>74</v>
      </c>
      <c r="F24" t="s">
        <v>68</v>
      </c>
    </row>
    <row r="26" spans="2:6" x14ac:dyDescent="0.25">
      <c r="B26" t="s">
        <v>51</v>
      </c>
      <c r="C26" t="s">
        <v>69</v>
      </c>
      <c r="D26" s="1" t="s">
        <v>62</v>
      </c>
      <c r="E26" s="2" t="s">
        <v>23</v>
      </c>
    </row>
    <row r="27" spans="2:6" x14ac:dyDescent="0.25">
      <c r="B27" t="s">
        <v>20</v>
      </c>
      <c r="D27" s="1" t="s">
        <v>19</v>
      </c>
    </row>
    <row r="29" spans="2:6" x14ac:dyDescent="0.25">
      <c r="D29" s="1" t="s">
        <v>50</v>
      </c>
    </row>
    <row r="30" spans="2:6" x14ac:dyDescent="0.25">
      <c r="D30" s="1" t="s">
        <v>61</v>
      </c>
    </row>
    <row r="31" spans="2:6" ht="14.25" customHeight="1" x14ac:dyDescent="0.25"/>
    <row r="36" spans="2:6" x14ac:dyDescent="0.25">
      <c r="B36" t="s">
        <v>49</v>
      </c>
      <c r="D36" s="1" t="s">
        <v>22</v>
      </c>
      <c r="E36" s="2">
        <v>6</v>
      </c>
      <c r="F36" t="s">
        <v>2</v>
      </c>
    </row>
    <row r="37" spans="2:6" x14ac:dyDescent="0.25">
      <c r="E37" s="5"/>
    </row>
    <row r="38" spans="2:6" x14ac:dyDescent="0.25">
      <c r="D38" s="1" t="s">
        <v>11</v>
      </c>
    </row>
    <row r="39" spans="2:6" ht="30" x14ac:dyDescent="0.25">
      <c r="B39" t="s">
        <v>7</v>
      </c>
      <c r="D39" s="1" t="s">
        <v>35</v>
      </c>
      <c r="E39" s="2">
        <v>4</v>
      </c>
    </row>
    <row r="40" spans="2:6" ht="30" x14ac:dyDescent="0.25">
      <c r="B40" t="s">
        <v>8</v>
      </c>
      <c r="D40" s="1" t="s">
        <v>27</v>
      </c>
      <c r="E40" s="2">
        <v>6</v>
      </c>
    </row>
    <row r="41" spans="2:6" ht="30" x14ac:dyDescent="0.25">
      <c r="B41" t="s">
        <v>6</v>
      </c>
      <c r="D41" s="1" t="s">
        <v>28</v>
      </c>
      <c r="E41" s="2">
        <v>6</v>
      </c>
    </row>
    <row r="42" spans="2:6" ht="45" x14ac:dyDescent="0.25">
      <c r="B42" t="s">
        <v>10</v>
      </c>
      <c r="D42" s="1" t="s">
        <v>46</v>
      </c>
      <c r="E42" s="2">
        <v>6</v>
      </c>
    </row>
    <row r="43" spans="2:6" ht="30" x14ac:dyDescent="0.25">
      <c r="B43" t="s">
        <v>15</v>
      </c>
      <c r="D43" s="1" t="s">
        <v>29</v>
      </c>
      <c r="E43" s="3">
        <v>5</v>
      </c>
    </row>
    <row r="45" spans="2:6" x14ac:dyDescent="0.25">
      <c r="E45" s="5">
        <f>SUM(E39:E43)</f>
        <v>27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C09F9-95B0-4E98-B053-F15706E08116}">
  <dimension ref="A1:Y19"/>
  <sheetViews>
    <sheetView workbookViewId="0">
      <selection activeCell="H21" sqref="H21"/>
    </sheetView>
  </sheetViews>
  <sheetFormatPr baseColWidth="10" defaultRowHeight="15" x14ac:dyDescent="0.25"/>
  <cols>
    <col min="1" max="1" width="42.85546875" bestFit="1" customWidth="1"/>
    <col min="2" max="2" width="3" bestFit="1" customWidth="1"/>
    <col min="6" max="6" width="10" bestFit="1" customWidth="1"/>
    <col min="7" max="7" width="10" customWidth="1"/>
    <col min="8" max="8" width="42.85546875" bestFit="1" customWidth="1"/>
    <col min="9" max="24" width="3.7109375" bestFit="1" customWidth="1"/>
  </cols>
  <sheetData>
    <row r="1" spans="1:25" ht="225" x14ac:dyDescent="0.25">
      <c r="G1" s="8"/>
      <c r="I1" s="6" t="s">
        <v>24</v>
      </c>
      <c r="J1" s="6" t="s">
        <v>25</v>
      </c>
      <c r="K1" s="6" t="s">
        <v>26</v>
      </c>
      <c r="L1" s="6" t="s">
        <v>0</v>
      </c>
      <c r="M1" s="6" t="s">
        <v>42</v>
      </c>
      <c r="N1" s="6" t="s">
        <v>49</v>
      </c>
      <c r="O1" s="6" t="s">
        <v>3</v>
      </c>
      <c r="P1" s="6" t="s">
        <v>7</v>
      </c>
      <c r="Q1" s="6" t="s">
        <v>8</v>
      </c>
      <c r="R1" s="6" t="s">
        <v>6</v>
      </c>
      <c r="S1" s="6" t="s">
        <v>10</v>
      </c>
      <c r="T1" s="6" t="s">
        <v>9</v>
      </c>
      <c r="U1" s="6" t="s">
        <v>13</v>
      </c>
      <c r="V1" s="6" t="s">
        <v>12</v>
      </c>
      <c r="W1" s="6" t="s">
        <v>14</v>
      </c>
      <c r="X1" s="6" t="s">
        <v>17</v>
      </c>
      <c r="Y1" s="6"/>
    </row>
    <row r="2" spans="1:25" x14ac:dyDescent="0.25">
      <c r="C2" s="8" t="s">
        <v>36</v>
      </c>
      <c r="D2" s="8" t="s">
        <v>37</v>
      </c>
      <c r="E2" s="8" t="s">
        <v>38</v>
      </c>
      <c r="F2" s="8" t="s">
        <v>39</v>
      </c>
      <c r="H2" t="s">
        <v>24</v>
      </c>
      <c r="I2" s="7"/>
      <c r="J2" t="s">
        <v>40</v>
      </c>
      <c r="K2" t="s">
        <v>40</v>
      </c>
      <c r="L2" t="s">
        <v>41</v>
      </c>
      <c r="M2" t="s">
        <v>40</v>
      </c>
      <c r="N2" t="s">
        <v>40</v>
      </c>
      <c r="O2" t="s">
        <v>40</v>
      </c>
      <c r="S2" t="s">
        <v>41</v>
      </c>
      <c r="T2" t="s">
        <v>40</v>
      </c>
      <c r="U2" t="s">
        <v>40</v>
      </c>
      <c r="V2" t="s">
        <v>40</v>
      </c>
      <c r="W2" t="s">
        <v>40</v>
      </c>
      <c r="X2" t="s">
        <v>40</v>
      </c>
    </row>
    <row r="3" spans="1:25" x14ac:dyDescent="0.25">
      <c r="A3" s="8" t="s">
        <v>24</v>
      </c>
      <c r="B3">
        <v>6</v>
      </c>
      <c r="C3" s="9" t="s">
        <v>40</v>
      </c>
      <c r="D3" s="9" t="s">
        <v>41</v>
      </c>
      <c r="E3" s="9" t="s">
        <v>40</v>
      </c>
      <c r="H3" t="s">
        <v>25</v>
      </c>
      <c r="I3" t="s">
        <v>40</v>
      </c>
      <c r="J3" s="7"/>
      <c r="K3" t="s">
        <v>40</v>
      </c>
      <c r="L3" t="s">
        <v>40</v>
      </c>
      <c r="M3" t="s">
        <v>40</v>
      </c>
      <c r="N3" t="s">
        <v>41</v>
      </c>
      <c r="O3" t="s">
        <v>41</v>
      </c>
      <c r="S3" t="s">
        <v>41</v>
      </c>
      <c r="T3" t="s">
        <v>41</v>
      </c>
      <c r="U3" t="s">
        <v>41</v>
      </c>
      <c r="V3" t="s">
        <v>41</v>
      </c>
      <c r="W3" t="s">
        <v>41</v>
      </c>
      <c r="X3" t="s">
        <v>41</v>
      </c>
    </row>
    <row r="4" spans="1:25" x14ac:dyDescent="0.25">
      <c r="A4" s="8" t="s">
        <v>25</v>
      </c>
      <c r="B4">
        <v>6</v>
      </c>
      <c r="C4" s="9" t="s">
        <v>40</v>
      </c>
      <c r="D4" s="9"/>
      <c r="E4" s="9"/>
      <c r="F4" t="s">
        <v>43</v>
      </c>
      <c r="H4" t="s">
        <v>26</v>
      </c>
      <c r="I4" t="s">
        <v>40</v>
      </c>
      <c r="J4" t="s">
        <v>40</v>
      </c>
      <c r="K4" s="7"/>
      <c r="L4" t="s">
        <v>40</v>
      </c>
      <c r="M4" t="s">
        <v>40</v>
      </c>
      <c r="N4" t="s">
        <v>41</v>
      </c>
      <c r="O4" t="s">
        <v>41</v>
      </c>
      <c r="P4" t="s">
        <v>40</v>
      </c>
      <c r="Q4" t="s">
        <v>40</v>
      </c>
      <c r="R4" t="s">
        <v>40</v>
      </c>
      <c r="S4" t="s">
        <v>41</v>
      </c>
      <c r="T4" t="s">
        <v>40</v>
      </c>
      <c r="U4" t="s">
        <v>41</v>
      </c>
      <c r="V4" t="s">
        <v>41</v>
      </c>
      <c r="W4" t="s">
        <v>41</v>
      </c>
      <c r="X4" t="s">
        <v>41</v>
      </c>
    </row>
    <row r="5" spans="1:25" x14ac:dyDescent="0.25">
      <c r="A5" s="8" t="s">
        <v>26</v>
      </c>
      <c r="B5">
        <v>6</v>
      </c>
      <c r="C5" s="9" t="s">
        <v>40</v>
      </c>
      <c r="D5" s="9"/>
      <c r="E5" s="9"/>
      <c r="F5" t="s">
        <v>44</v>
      </c>
      <c r="H5" t="s">
        <v>0</v>
      </c>
      <c r="I5" t="s">
        <v>41</v>
      </c>
      <c r="J5" t="s">
        <v>40</v>
      </c>
      <c r="K5" t="s">
        <v>40</v>
      </c>
      <c r="L5" s="7"/>
      <c r="Q5" t="s">
        <v>40</v>
      </c>
      <c r="R5" t="s">
        <v>40</v>
      </c>
      <c r="S5" t="s">
        <v>40</v>
      </c>
      <c r="T5" t="s">
        <v>41</v>
      </c>
      <c r="U5" t="s">
        <v>48</v>
      </c>
      <c r="V5" t="s">
        <v>48</v>
      </c>
      <c r="W5" t="s">
        <v>48</v>
      </c>
      <c r="X5" t="s">
        <v>48</v>
      </c>
    </row>
    <row r="6" spans="1:25" x14ac:dyDescent="0.25">
      <c r="A6" s="8" t="s">
        <v>0</v>
      </c>
      <c r="B6">
        <v>6</v>
      </c>
      <c r="C6" s="9" t="s">
        <v>40</v>
      </c>
      <c r="D6" s="9"/>
      <c r="E6" s="9"/>
      <c r="F6" t="s">
        <v>43</v>
      </c>
      <c r="H6" t="s">
        <v>42</v>
      </c>
      <c r="I6" t="s">
        <v>40</v>
      </c>
      <c r="J6" t="s">
        <v>40</v>
      </c>
      <c r="K6" t="s">
        <v>40</v>
      </c>
      <c r="M6" s="7"/>
      <c r="N6" t="s">
        <v>41</v>
      </c>
      <c r="O6" t="s">
        <v>41</v>
      </c>
      <c r="T6" t="s">
        <v>41</v>
      </c>
      <c r="U6" t="s">
        <v>41</v>
      </c>
      <c r="V6" t="s">
        <v>41</v>
      </c>
      <c r="W6" t="s">
        <v>41</v>
      </c>
      <c r="X6" t="s">
        <v>41</v>
      </c>
    </row>
    <row r="7" spans="1:25" x14ac:dyDescent="0.25">
      <c r="A7" s="8" t="s">
        <v>42</v>
      </c>
      <c r="B7">
        <v>6</v>
      </c>
      <c r="C7" s="9" t="s">
        <v>40</v>
      </c>
      <c r="D7" s="9"/>
      <c r="E7" s="9"/>
      <c r="F7" t="s">
        <v>43</v>
      </c>
      <c r="H7" t="s">
        <v>49</v>
      </c>
      <c r="I7" t="s">
        <v>40</v>
      </c>
      <c r="J7" t="s">
        <v>41</v>
      </c>
      <c r="K7" t="s">
        <v>41</v>
      </c>
      <c r="M7" t="s">
        <v>41</v>
      </c>
      <c r="N7" s="7"/>
      <c r="T7" t="s">
        <v>40</v>
      </c>
      <c r="U7" t="s">
        <v>40</v>
      </c>
      <c r="V7" t="s">
        <v>40</v>
      </c>
      <c r="W7" t="s">
        <v>40</v>
      </c>
      <c r="X7" t="s">
        <v>40</v>
      </c>
    </row>
    <row r="8" spans="1:25" x14ac:dyDescent="0.25">
      <c r="A8" s="8" t="s">
        <v>49</v>
      </c>
      <c r="B8">
        <v>6</v>
      </c>
      <c r="C8" s="9" t="s">
        <v>40</v>
      </c>
      <c r="D8" s="9" t="s">
        <v>41</v>
      </c>
      <c r="E8" s="9"/>
      <c r="F8" t="s">
        <v>43</v>
      </c>
      <c r="H8" t="s">
        <v>3</v>
      </c>
      <c r="I8" t="s">
        <v>40</v>
      </c>
      <c r="J8" t="s">
        <v>41</v>
      </c>
      <c r="K8" t="s">
        <v>41</v>
      </c>
      <c r="M8" t="s">
        <v>41</v>
      </c>
      <c r="O8" s="7"/>
      <c r="T8" t="s">
        <v>40</v>
      </c>
      <c r="U8" t="s">
        <v>40</v>
      </c>
      <c r="V8" t="s">
        <v>40</v>
      </c>
      <c r="W8" t="s">
        <v>40</v>
      </c>
      <c r="X8" t="s">
        <v>40</v>
      </c>
    </row>
    <row r="9" spans="1:25" x14ac:dyDescent="0.25">
      <c r="A9" s="8" t="s">
        <v>3</v>
      </c>
      <c r="B9">
        <v>6</v>
      </c>
      <c r="C9" s="9" t="s">
        <v>40</v>
      </c>
      <c r="D9" s="9" t="s">
        <v>41</v>
      </c>
      <c r="E9" s="9"/>
      <c r="F9" t="s">
        <v>43</v>
      </c>
      <c r="H9" t="s">
        <v>7</v>
      </c>
      <c r="K9" t="s">
        <v>40</v>
      </c>
      <c r="P9" s="7"/>
      <c r="Q9" t="s">
        <v>40</v>
      </c>
      <c r="R9" t="s">
        <v>40</v>
      </c>
      <c r="T9" t="s">
        <v>41</v>
      </c>
      <c r="U9" t="s">
        <v>41</v>
      </c>
      <c r="V9" t="s">
        <v>41</v>
      </c>
      <c r="W9" t="s">
        <v>41</v>
      </c>
      <c r="X9" t="s">
        <v>41</v>
      </c>
    </row>
    <row r="10" spans="1:25" x14ac:dyDescent="0.25">
      <c r="A10" s="8" t="s">
        <v>7</v>
      </c>
      <c r="B10">
        <v>4</v>
      </c>
      <c r="C10" s="9"/>
      <c r="D10" s="9" t="s">
        <v>40</v>
      </c>
      <c r="E10" s="9"/>
      <c r="F10" t="s">
        <v>43</v>
      </c>
      <c r="H10" t="s">
        <v>8</v>
      </c>
      <c r="K10" t="s">
        <v>40</v>
      </c>
      <c r="L10" t="s">
        <v>40</v>
      </c>
      <c r="P10" t="s">
        <v>40</v>
      </c>
      <c r="Q10" s="7"/>
      <c r="R10" t="s">
        <v>40</v>
      </c>
      <c r="S10" t="s">
        <v>40</v>
      </c>
      <c r="T10" t="s">
        <v>40</v>
      </c>
      <c r="U10" t="s">
        <v>41</v>
      </c>
      <c r="V10" t="s">
        <v>41</v>
      </c>
      <c r="W10" t="s">
        <v>41</v>
      </c>
      <c r="X10" t="s">
        <v>41</v>
      </c>
    </row>
    <row r="11" spans="1:25" x14ac:dyDescent="0.25">
      <c r="A11" s="8" t="s">
        <v>8</v>
      </c>
      <c r="B11">
        <v>6</v>
      </c>
      <c r="C11" s="9"/>
      <c r="D11" s="9" t="s">
        <v>40</v>
      </c>
      <c r="E11" s="9"/>
      <c r="F11" t="s">
        <v>43</v>
      </c>
      <c r="H11" t="s">
        <v>6</v>
      </c>
      <c r="K11" t="s">
        <v>40</v>
      </c>
      <c r="L11" t="s">
        <v>40</v>
      </c>
      <c r="P11" t="s">
        <v>40</v>
      </c>
      <c r="Q11" t="s">
        <v>40</v>
      </c>
      <c r="R11" s="7"/>
      <c r="S11" t="s">
        <v>40</v>
      </c>
      <c r="T11" t="s">
        <v>40</v>
      </c>
      <c r="U11" t="s">
        <v>41</v>
      </c>
      <c r="V11" t="s">
        <v>41</v>
      </c>
      <c r="W11" t="s">
        <v>41</v>
      </c>
      <c r="X11" t="s">
        <v>41</v>
      </c>
    </row>
    <row r="12" spans="1:25" x14ac:dyDescent="0.25">
      <c r="A12" s="8" t="s">
        <v>6</v>
      </c>
      <c r="B12">
        <v>6</v>
      </c>
      <c r="C12" s="9"/>
      <c r="D12" s="9" t="s">
        <v>40</v>
      </c>
      <c r="E12" s="9"/>
      <c r="F12" t="s">
        <v>43</v>
      </c>
      <c r="H12" t="s">
        <v>10</v>
      </c>
      <c r="I12" t="s">
        <v>41</v>
      </c>
      <c r="J12" t="s">
        <v>41</v>
      </c>
      <c r="K12" t="s">
        <v>41</v>
      </c>
      <c r="L12" t="s">
        <v>40</v>
      </c>
      <c r="M12" t="s">
        <v>41</v>
      </c>
      <c r="Q12" t="s">
        <v>40</v>
      </c>
      <c r="R12" t="s">
        <v>40</v>
      </c>
      <c r="S12" s="7"/>
      <c r="T12" t="s">
        <v>40</v>
      </c>
      <c r="U12" t="s">
        <v>41</v>
      </c>
      <c r="V12" t="s">
        <v>41</v>
      </c>
      <c r="W12" t="s">
        <v>41</v>
      </c>
      <c r="X12" t="s">
        <v>41</v>
      </c>
    </row>
    <row r="13" spans="1:25" x14ac:dyDescent="0.25">
      <c r="A13" s="8" t="s">
        <v>10</v>
      </c>
      <c r="B13">
        <v>6</v>
      </c>
      <c r="C13" s="9"/>
      <c r="D13" s="9" t="s">
        <v>40</v>
      </c>
      <c r="E13" s="9"/>
      <c r="H13" t="s">
        <v>9</v>
      </c>
      <c r="I13" t="s">
        <v>40</v>
      </c>
      <c r="J13" t="s">
        <v>41</v>
      </c>
      <c r="K13" t="s">
        <v>40</v>
      </c>
      <c r="L13" t="s">
        <v>41</v>
      </c>
      <c r="M13" t="s">
        <v>41</v>
      </c>
      <c r="N13" t="s">
        <v>40</v>
      </c>
      <c r="O13" t="s">
        <v>40</v>
      </c>
      <c r="P13" t="s">
        <v>41</v>
      </c>
      <c r="Q13" t="s">
        <v>40</v>
      </c>
      <c r="R13" t="s">
        <v>40</v>
      </c>
      <c r="S13" t="s">
        <v>40</v>
      </c>
      <c r="T13" s="7"/>
      <c r="U13" t="s">
        <v>40</v>
      </c>
      <c r="V13" t="s">
        <v>40</v>
      </c>
      <c r="W13" t="s">
        <v>40</v>
      </c>
      <c r="X13" t="s">
        <v>40</v>
      </c>
    </row>
    <row r="14" spans="1:25" x14ac:dyDescent="0.25">
      <c r="A14" s="8" t="s">
        <v>9</v>
      </c>
      <c r="B14">
        <v>6</v>
      </c>
      <c r="C14" s="9" t="s">
        <v>40</v>
      </c>
      <c r="D14" s="9" t="s">
        <v>40</v>
      </c>
      <c r="E14" s="9" t="s">
        <v>40</v>
      </c>
      <c r="F14" t="s">
        <v>45</v>
      </c>
      <c r="H14" t="s">
        <v>13</v>
      </c>
      <c r="I14" t="s">
        <v>40</v>
      </c>
      <c r="J14" t="s">
        <v>41</v>
      </c>
      <c r="K14" t="s">
        <v>41</v>
      </c>
      <c r="L14" t="s">
        <v>48</v>
      </c>
      <c r="M14" t="s">
        <v>41</v>
      </c>
      <c r="N14" t="s">
        <v>40</v>
      </c>
      <c r="O14" t="s">
        <v>40</v>
      </c>
      <c r="P14" t="s">
        <v>41</v>
      </c>
      <c r="Q14" t="s">
        <v>41</v>
      </c>
      <c r="R14" t="s">
        <v>41</v>
      </c>
      <c r="S14" t="s">
        <v>41</v>
      </c>
      <c r="T14" t="s">
        <v>40</v>
      </c>
      <c r="U14" s="7"/>
      <c r="V14" t="s">
        <v>40</v>
      </c>
      <c r="W14" t="s">
        <v>40</v>
      </c>
      <c r="X14" t="s">
        <v>40</v>
      </c>
    </row>
    <row r="15" spans="1:25" x14ac:dyDescent="0.25">
      <c r="A15" s="8" t="s">
        <v>13</v>
      </c>
      <c r="B15">
        <v>6</v>
      </c>
      <c r="C15" s="9" t="s">
        <v>40</v>
      </c>
      <c r="D15" s="9" t="s">
        <v>40</v>
      </c>
      <c r="E15" s="9" t="s">
        <v>40</v>
      </c>
      <c r="F15" t="s">
        <v>45</v>
      </c>
      <c r="H15" t="s">
        <v>12</v>
      </c>
      <c r="I15" t="s">
        <v>40</v>
      </c>
      <c r="J15" t="s">
        <v>41</v>
      </c>
      <c r="K15" t="s">
        <v>41</v>
      </c>
      <c r="L15" t="s">
        <v>48</v>
      </c>
      <c r="M15" t="s">
        <v>41</v>
      </c>
      <c r="N15" t="s">
        <v>40</v>
      </c>
      <c r="O15" t="s">
        <v>40</v>
      </c>
      <c r="P15" t="s">
        <v>41</v>
      </c>
      <c r="Q15" t="s">
        <v>41</v>
      </c>
      <c r="R15" t="s">
        <v>41</v>
      </c>
      <c r="S15" t="s">
        <v>41</v>
      </c>
      <c r="T15" t="s">
        <v>40</v>
      </c>
      <c r="U15" t="s">
        <v>40</v>
      </c>
      <c r="V15" s="7"/>
      <c r="W15" t="s">
        <v>40</v>
      </c>
      <c r="X15" t="s">
        <v>40</v>
      </c>
    </row>
    <row r="16" spans="1:25" x14ac:dyDescent="0.25">
      <c r="A16" s="8" t="s">
        <v>12</v>
      </c>
      <c r="B16">
        <v>6</v>
      </c>
      <c r="C16" s="9" t="s">
        <v>40</v>
      </c>
      <c r="D16" s="9" t="s">
        <v>40</v>
      </c>
      <c r="E16" s="9" t="s">
        <v>40</v>
      </c>
      <c r="F16" t="s">
        <v>45</v>
      </c>
      <c r="H16" t="s">
        <v>14</v>
      </c>
      <c r="I16" t="s">
        <v>40</v>
      </c>
      <c r="J16" t="s">
        <v>41</v>
      </c>
      <c r="K16" t="s">
        <v>41</v>
      </c>
      <c r="L16" t="s">
        <v>48</v>
      </c>
      <c r="M16" t="s">
        <v>41</v>
      </c>
      <c r="N16" t="s">
        <v>40</v>
      </c>
      <c r="O16" t="s">
        <v>40</v>
      </c>
      <c r="P16" t="s">
        <v>41</v>
      </c>
      <c r="Q16" t="s">
        <v>41</v>
      </c>
      <c r="R16" t="s">
        <v>41</v>
      </c>
      <c r="S16" t="s">
        <v>41</v>
      </c>
      <c r="T16" t="s">
        <v>40</v>
      </c>
      <c r="U16" t="s">
        <v>40</v>
      </c>
      <c r="V16" t="s">
        <v>40</v>
      </c>
      <c r="W16" s="7"/>
      <c r="X16" t="s">
        <v>40</v>
      </c>
    </row>
    <row r="17" spans="1:24" x14ac:dyDescent="0.25">
      <c r="A17" s="8" t="s">
        <v>14</v>
      </c>
      <c r="B17">
        <v>6</v>
      </c>
      <c r="C17" s="9" t="s">
        <v>40</v>
      </c>
      <c r="D17" s="9" t="s">
        <v>40</v>
      </c>
      <c r="E17" s="9" t="s">
        <v>40</v>
      </c>
      <c r="F17" t="s">
        <v>45</v>
      </c>
      <c r="H17" t="s">
        <v>17</v>
      </c>
      <c r="I17" t="s">
        <v>40</v>
      </c>
      <c r="J17" t="s">
        <v>41</v>
      </c>
      <c r="K17" t="s">
        <v>41</v>
      </c>
      <c r="L17" t="s">
        <v>48</v>
      </c>
      <c r="M17" t="s">
        <v>41</v>
      </c>
      <c r="N17" t="s">
        <v>40</v>
      </c>
      <c r="O17" t="s">
        <v>40</v>
      </c>
      <c r="P17" t="s">
        <v>41</v>
      </c>
      <c r="Q17" t="s">
        <v>41</v>
      </c>
      <c r="R17" t="s">
        <v>41</v>
      </c>
      <c r="S17" t="s">
        <v>41</v>
      </c>
      <c r="T17" t="s">
        <v>40</v>
      </c>
      <c r="U17" t="s">
        <v>40</v>
      </c>
      <c r="V17" t="s">
        <v>40</v>
      </c>
      <c r="W17" t="s">
        <v>40</v>
      </c>
      <c r="X17" s="7"/>
    </row>
    <row r="18" spans="1:24" x14ac:dyDescent="0.25">
      <c r="A18" s="8" t="s">
        <v>17</v>
      </c>
      <c r="B18">
        <v>6</v>
      </c>
      <c r="C18" s="9" t="s">
        <v>40</v>
      </c>
      <c r="D18" s="9" t="s">
        <v>40</v>
      </c>
      <c r="E18" s="9" t="s">
        <v>40</v>
      </c>
      <c r="F18" t="s">
        <v>45</v>
      </c>
    </row>
    <row r="19" spans="1:24" x14ac:dyDescent="0.25">
      <c r="B19">
        <f>SUM(B3:B18)</f>
        <v>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Feuil1</vt:lpstr>
      <vt:lpstr>Feuil2</vt:lpstr>
    </vt:vector>
  </TitlesOfParts>
  <Company>CMA CGM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JUMEL Eric</dc:creator>
  <cp:lastModifiedBy>Eric JUMEL</cp:lastModifiedBy>
  <dcterms:created xsi:type="dcterms:W3CDTF">2024-11-26T15:08:46Z</dcterms:created>
  <dcterms:modified xsi:type="dcterms:W3CDTF">2025-08-24T17:18:15Z</dcterms:modified>
</cp:coreProperties>
</file>