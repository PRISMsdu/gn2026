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2" sheetId="1" r:id="rId5"/>
    <sheet state="visible" name="Feuille3" sheetId="2" r:id="rId6"/>
  </sheets>
  <definedNames/>
  <calcPr/>
</workbook>
</file>

<file path=xl/sharedStrings.xml><?xml version="1.0" encoding="utf-8"?>
<sst xmlns="http://schemas.openxmlformats.org/spreadsheetml/2006/main" count="42" uniqueCount="42">
  <si>
    <t>GN Celtiana 2026 (Cognelot)</t>
  </si>
  <si>
    <t>Orgas</t>
  </si>
  <si>
    <t>Eric, Laurent, Seb, chris, Carl</t>
  </si>
  <si>
    <t>Joueurs payants</t>
  </si>
  <si>
    <t>Joueurs non payant (logistique)</t>
  </si>
  <si>
    <t>PNJ</t>
  </si>
  <si>
    <t>Equipe Seb</t>
  </si>
  <si>
    <t>Aubergistes</t>
  </si>
  <si>
    <t>Nico, Jef, Pascal ?</t>
  </si>
  <si>
    <t>Total :</t>
  </si>
  <si>
    <t>Dépenses :</t>
  </si>
  <si>
    <t>Postes</t>
  </si>
  <si>
    <t>PU</t>
  </si>
  <si>
    <t>Qté</t>
  </si>
  <si>
    <t>Total</t>
  </si>
  <si>
    <t>Location Site</t>
  </si>
  <si>
    <t>Tritons</t>
  </si>
  <si>
    <t>Eau chaude + bois + elec</t>
  </si>
  <si>
    <t>Monstres</t>
  </si>
  <si>
    <t>Machine à bière</t>
  </si>
  <si>
    <t>Eau potable</t>
  </si>
  <si>
    <t>Bière</t>
  </si>
  <si>
    <t>Pains</t>
  </si>
  <si>
    <t xml:space="preserve">Confitures + beurre </t>
  </si>
  <si>
    <t>Camion 1 (AR cognelot) Chris + Carl</t>
  </si>
  <si>
    <t>Essence + autoroute</t>
  </si>
  <si>
    <t>Bouffe Orgas + aubergistes (x8)</t>
  </si>
  <si>
    <t>Voiture Orga Eric</t>
  </si>
  <si>
    <t>Voiture Orgas Laurent</t>
  </si>
  <si>
    <t>Voiture Orgas Seb</t>
  </si>
  <si>
    <t>Logement scenario Dec 2025</t>
  </si>
  <si>
    <t>Percolateur Café</t>
  </si>
  <si>
    <t>Matériel</t>
  </si>
  <si>
    <t>3 Tentures (deco murales - masquer couloirs</t>
  </si>
  <si>
    <t>Aléas</t>
  </si>
  <si>
    <t>Location local année</t>
  </si>
  <si>
    <t>Total dépenses :</t>
  </si>
  <si>
    <t>Recettes :</t>
  </si>
  <si>
    <t>PAF joueur</t>
  </si>
  <si>
    <t>PAF PNJ</t>
  </si>
  <si>
    <t>Total recettes :</t>
  </si>
  <si>
    <t>Résultat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</si>
</sst>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 #\ ##,000\ [$€-40C]\ ;\-#\ ##,000\ [$€-40C]\ ;\-#\ [$€-40C]\ ;@\ "/>
    <numFmt numFmtId="165" formatCode="#,##0.00\ [$€-40C]"/>
  </numFmts>
  <fonts count="8">
    <font>
      <sz val="11.0"/>
      <color rgb="FF000000"/>
      <name val="Arial"/>
      <scheme val="minor"/>
    </font>
    <font>
      <sz val="11.0"/>
      <color rgb="FF000000"/>
      <name val="Arial"/>
    </font>
    <font>
      <b/>
      <sz val="20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14.0"/>
      <color rgb="FF000000"/>
      <name val="Calibri"/>
    </font>
    <font/>
    <font>
      <i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7C80"/>
        <bgColor rgb="FFFF7C80"/>
      </patternFill>
    </fill>
    <fill>
      <patternFill patternType="solid">
        <fgColor rgb="FFFBE2D5"/>
        <bgColor rgb="FFFBE2D5"/>
      </patternFill>
    </fill>
    <fill>
      <patternFill patternType="solid">
        <fgColor rgb="FFC3D69B"/>
        <bgColor rgb="FFC3D69B"/>
      </patternFill>
    </fill>
    <fill>
      <patternFill patternType="solid">
        <fgColor rgb="FFDAF2D0"/>
        <bgColor rgb="FFDAF2D0"/>
      </patternFill>
    </fill>
    <fill>
      <patternFill patternType="solid">
        <fgColor rgb="FFFFFF99"/>
        <bgColor rgb="FFFFFF99"/>
      </patternFill>
    </fill>
  </fills>
  <borders count="22">
    <border/>
    <border>
      <left/>
      <top/>
      <bottom/>
    </border>
    <border>
      <top/>
      <bottom/>
    </border>
    <border>
      <right/>
      <top/>
      <bottom/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</border>
    <border>
      <right style="hair">
        <color rgb="FF000000"/>
      </right>
    </border>
    <border>
      <left/>
      <right/>
      <top/>
      <bottom style="hair">
        <color rgb="FF000000"/>
      </bottom>
    </border>
    <border>
      <left/>
      <top/>
      <bottom style="hair">
        <color rgb="FF000000"/>
      </bottom>
    </border>
    <border>
      <top/>
      <bottom style="hair">
        <color rgb="FF000000"/>
      </bottom>
    </border>
    <border>
      <right/>
      <top/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shrinkToFit="0" vertical="bottom" wrapText="0"/>
    </xf>
    <xf borderId="2" fillId="0" fontId="6" numFmtId="0" xfId="0" applyBorder="1" applyFont="1"/>
    <xf borderId="3" fillId="0" fontId="6" numFmtId="0" xfId="0" applyBorder="1" applyFont="1"/>
    <xf borderId="0" fillId="0" fontId="4" numFmtId="0" xfId="0" applyAlignment="1" applyFont="1">
      <alignment horizontal="center" shrinkToFit="0" vertical="bottom" wrapText="0"/>
    </xf>
    <xf borderId="4" fillId="0" fontId="3" numFmtId="0" xfId="0" applyAlignment="1" applyBorder="1" applyFont="1">
      <alignment shrinkToFit="0" vertical="bottom" wrapText="0"/>
    </xf>
    <xf borderId="5" fillId="0" fontId="3" numFmtId="164" xfId="0" applyAlignment="1" applyBorder="1" applyFont="1" applyNumberFormat="1">
      <alignment shrinkToFit="0" vertical="bottom" wrapText="0"/>
    </xf>
    <xf borderId="5" fillId="0" fontId="3" numFmtId="0" xfId="0" applyAlignment="1" applyBorder="1" applyFont="1">
      <alignment horizontal="center" shrinkToFit="0" vertical="bottom" wrapText="0"/>
    </xf>
    <xf borderId="6" fillId="0" fontId="3" numFmtId="164" xfId="0" applyAlignment="1" applyBorder="1" applyFont="1" applyNumberForma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7" fillId="0" fontId="3" numFmtId="0" xfId="0" applyAlignment="1" applyBorder="1" applyFont="1">
      <alignment shrinkToFit="0" vertical="bottom" wrapText="0"/>
    </xf>
    <xf borderId="8" fillId="0" fontId="3" numFmtId="164" xfId="0" applyAlignment="1" applyBorder="1" applyFont="1" applyNumberFormat="1">
      <alignment shrinkToFit="0" vertical="bottom" wrapText="0"/>
    </xf>
    <xf borderId="8" fillId="0" fontId="3" numFmtId="0" xfId="0" applyAlignment="1" applyBorder="1" applyFont="1">
      <alignment horizontal="center" shrinkToFit="0" vertical="bottom" wrapText="0"/>
    </xf>
    <xf borderId="9" fillId="0" fontId="6" numFmtId="0" xfId="0" applyBorder="1" applyFont="1"/>
    <xf borderId="0" fillId="0" fontId="3" numFmtId="164" xfId="0" applyAlignment="1" applyFont="1" applyNumberFormat="1">
      <alignment shrinkToFit="0" vertical="bottom" wrapText="0"/>
    </xf>
    <xf borderId="10" fillId="0" fontId="3" numFmtId="0" xfId="0" applyAlignment="1" applyBorder="1" applyFont="1">
      <alignment shrinkToFit="0" vertical="bottom" wrapText="0"/>
    </xf>
    <xf borderId="11" fillId="0" fontId="6" numFmtId="0" xfId="0" applyBorder="1" applyFont="1"/>
    <xf borderId="0" fillId="0" fontId="3" numFmtId="164" xfId="0" applyAlignment="1" applyFont="1" applyNumberFormat="1">
      <alignment readingOrder="0" shrinkToFit="0" vertical="bottom" wrapText="0"/>
    </xf>
    <xf borderId="6" fillId="0" fontId="3" numFmtId="0" xfId="0" applyAlignment="1" applyBorder="1" applyFont="1">
      <alignment shrinkToFit="0" vertical="bottom" wrapText="0"/>
    </xf>
    <xf borderId="7" fillId="0" fontId="3" numFmtId="0" xfId="0" applyAlignment="1" applyBorder="1" applyFont="1">
      <alignment readingOrder="0" shrinkToFit="0" vertical="bottom" wrapText="0"/>
    </xf>
    <xf borderId="8" fillId="0" fontId="3" numFmtId="164" xfId="0" applyAlignment="1" applyBorder="1" applyFont="1" applyNumberFormat="1">
      <alignment readingOrder="0" shrinkToFit="0" vertical="bottom" wrapText="0"/>
    </xf>
    <xf borderId="9" fillId="0" fontId="3" numFmtId="165" xfId="0" applyAlignment="1" applyBorder="1" applyFont="1" applyNumberForma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10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5" fillId="0" fontId="3" numFmtId="164" xfId="0" applyAlignment="1" applyBorder="1" applyFont="1" applyNumberFormat="1">
      <alignment readingOrder="0" shrinkToFit="0" vertical="bottom" wrapText="0"/>
    </xf>
    <xf borderId="5" fillId="0" fontId="3" numFmtId="0" xfId="0" applyAlignment="1" applyBorder="1" applyFont="1">
      <alignment horizontal="center" readingOrder="0" shrinkToFit="0" vertical="bottom" wrapText="0"/>
    </xf>
    <xf borderId="11" fillId="0" fontId="3" numFmtId="0" xfId="0" applyAlignment="1" applyBorder="1" applyFont="1">
      <alignment shrinkToFit="0" vertical="bottom" wrapText="0"/>
    </xf>
    <xf borderId="11" fillId="0" fontId="3" numFmtId="164" xfId="0" applyAlignment="1" applyBorder="1" applyFont="1" applyNumberForma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5" fillId="0" fontId="4" numFmtId="164" xfId="0" applyAlignment="1" applyBorder="1" applyFont="1" applyNumberFormat="1">
      <alignment shrinkToFit="0" vertical="bottom" wrapText="0"/>
    </xf>
    <xf borderId="0" fillId="0" fontId="4" numFmtId="165" xfId="0" applyAlignment="1" applyFont="1" applyNumberForma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8" fillId="0" fontId="3" numFmtId="0" xfId="0" applyAlignment="1" applyBorder="1" applyFont="1">
      <alignment shrinkToFit="0" vertical="bottom" wrapText="0"/>
    </xf>
    <xf borderId="12" fillId="3" fontId="4" numFmtId="165" xfId="0" applyAlignment="1" applyBorder="1" applyFill="1" applyFont="1" applyNumberFormat="1">
      <alignment shrinkToFit="0" vertical="bottom" wrapText="0"/>
    </xf>
    <xf borderId="9" fillId="0" fontId="3" numFmtId="0" xfId="0" applyAlignment="1" applyBorder="1" applyFont="1">
      <alignment shrinkToFit="0" vertical="bottom" wrapText="0"/>
    </xf>
    <xf borderId="13" fillId="4" fontId="5" numFmtId="0" xfId="0" applyAlignment="1" applyBorder="1" applyFill="1" applyFont="1">
      <alignment shrinkToFit="0" vertical="bottom" wrapText="0"/>
    </xf>
    <xf borderId="14" fillId="0" fontId="6" numFmtId="0" xfId="0" applyBorder="1" applyFont="1"/>
    <xf borderId="15" fillId="0" fontId="6" numFmtId="0" xfId="0" applyBorder="1" applyFont="1"/>
    <xf borderId="5" fillId="0" fontId="3" numFmtId="0" xfId="0" applyAlignment="1" applyBorder="1" applyFont="1">
      <alignment readingOrder="0" shrinkToFit="0" vertical="bottom" wrapText="0"/>
    </xf>
    <xf borderId="16" fillId="0" fontId="7" numFmtId="0" xfId="0" applyAlignment="1" applyBorder="1" applyFont="1">
      <alignment shrinkToFit="0" vertical="bottom" wrapText="0"/>
    </xf>
    <xf borderId="17" fillId="0" fontId="3" numFmtId="0" xfId="0" applyAlignment="1" applyBorder="1" applyFont="1">
      <alignment shrinkToFit="0" vertical="bottom" wrapText="0"/>
    </xf>
    <xf borderId="17" fillId="0" fontId="3" numFmtId="0" xfId="0" applyAlignment="1" applyBorder="1" applyFont="1">
      <alignment horizontal="center" shrinkToFit="0" vertical="bottom" wrapText="0"/>
    </xf>
    <xf borderId="18" fillId="5" fontId="4" numFmtId="164" xfId="0" applyAlignment="1" applyBorder="1" applyFill="1" applyFont="1" applyNumberFormat="1">
      <alignment shrinkToFit="0" vertical="bottom" wrapText="0"/>
    </xf>
    <xf borderId="19" fillId="0" fontId="3" numFmtId="0" xfId="0" applyAlignment="1" applyBorder="1" applyFont="1">
      <alignment shrinkToFit="0" vertical="bottom" wrapText="0"/>
    </xf>
    <xf borderId="20" fillId="6" fontId="4" numFmtId="0" xfId="0" applyAlignment="1" applyBorder="1" applyFill="1" applyFont="1">
      <alignment horizontal="center" shrinkToFit="0" vertical="bottom" wrapText="0"/>
    </xf>
    <xf borderId="21" fillId="6" fontId="4" numFmtId="16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37.88"/>
    <col customWidth="1" min="3" max="3" width="17.25"/>
    <col customWidth="1" min="4" max="6" width="11.0"/>
    <col customWidth="1" min="7" max="26" width="8.63"/>
  </cols>
  <sheetData>
    <row r="1" ht="13.5" customHeight="1">
      <c r="A1" s="1"/>
      <c r="B1" s="2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3"/>
      <c r="C2" s="3"/>
      <c r="D2" s="4"/>
      <c r="E2" s="3"/>
      <c r="F2" s="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3" t="s">
        <v>1</v>
      </c>
      <c r="C3" s="3">
        <v>5.0</v>
      </c>
      <c r="D3" s="3" t="s">
        <v>2</v>
      </c>
      <c r="E3" s="3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3" t="s">
        <v>3</v>
      </c>
      <c r="C4" s="3">
        <v>70.0</v>
      </c>
      <c r="D4" s="3"/>
      <c r="E4" s="3"/>
      <c r="F4" s="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3" t="s">
        <v>4</v>
      </c>
      <c r="C5" s="3">
        <v>0.0</v>
      </c>
      <c r="D5" s="3"/>
      <c r="E5" s="3"/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3" t="s">
        <v>5</v>
      </c>
      <c r="C6" s="3">
        <v>11.0</v>
      </c>
      <c r="D6" s="3" t="s">
        <v>6</v>
      </c>
      <c r="E6" s="3"/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3" t="s">
        <v>7</v>
      </c>
      <c r="C7" s="3">
        <v>3.0</v>
      </c>
      <c r="D7" s="3" t="s">
        <v>8</v>
      </c>
      <c r="E7" s="3"/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5" t="s">
        <v>9</v>
      </c>
      <c r="C8" s="6">
        <f>SUM(C3:C7)</f>
        <v>89</v>
      </c>
      <c r="D8" s="4"/>
      <c r="E8" s="3"/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3"/>
      <c r="C9" s="3"/>
      <c r="D9" s="4"/>
      <c r="E9" s="3"/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7" t="s">
        <v>10</v>
      </c>
      <c r="C10" s="8"/>
      <c r="D10" s="8"/>
      <c r="E10" s="8"/>
      <c r="F10" s="9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0" t="s">
        <v>11</v>
      </c>
      <c r="C11" s="10" t="s">
        <v>12</v>
      </c>
      <c r="D11" s="10" t="s">
        <v>13</v>
      </c>
      <c r="E11" s="10" t="s">
        <v>14</v>
      </c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1" t="s">
        <v>15</v>
      </c>
      <c r="C12" s="12">
        <v>750.0</v>
      </c>
      <c r="D12" s="13">
        <v>1.0</v>
      </c>
      <c r="E12" s="12">
        <f>D12*C12</f>
        <v>750</v>
      </c>
      <c r="F12" s="14">
        <f>SUM(E12:E13)</f>
        <v>900</v>
      </c>
      <c r="G12" s="1"/>
      <c r="H12" s="1"/>
      <c r="I12" s="1"/>
      <c r="J12" s="15">
        <v>6.0</v>
      </c>
      <c r="K12" s="15" t="s">
        <v>16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6" t="s">
        <v>17</v>
      </c>
      <c r="C13" s="17">
        <v>50.0</v>
      </c>
      <c r="D13" s="18">
        <v>3.0</v>
      </c>
      <c r="E13" s="17">
        <f t="shared" ref="E13:E34" si="1">C13*D13</f>
        <v>150</v>
      </c>
      <c r="F13" s="19"/>
      <c r="G13" s="1"/>
      <c r="H13" s="1"/>
      <c r="I13" s="1"/>
      <c r="J13" s="15">
        <v>5.0</v>
      </c>
      <c r="K13" s="15" t="s">
        <v>18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1" t="s">
        <v>19</v>
      </c>
      <c r="C14" s="12">
        <v>0.0</v>
      </c>
      <c r="D14" s="13">
        <v>1.0</v>
      </c>
      <c r="E14" s="20">
        <f t="shared" si="1"/>
        <v>0</v>
      </c>
      <c r="F14" s="14">
        <f>SUM(E14:E18)</f>
        <v>774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21" t="s">
        <v>20</v>
      </c>
      <c r="C15" s="20">
        <v>0.3</v>
      </c>
      <c r="D15" s="4">
        <v>100.0</v>
      </c>
      <c r="E15" s="20">
        <f t="shared" si="1"/>
        <v>30</v>
      </c>
      <c r="F15" s="2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21" t="s">
        <v>21</v>
      </c>
      <c r="C16" s="23">
        <v>73.0</v>
      </c>
      <c r="D16" s="4">
        <v>8.0</v>
      </c>
      <c r="E16" s="20">
        <f t="shared" si="1"/>
        <v>584</v>
      </c>
      <c r="F16" s="2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21" t="s">
        <v>22</v>
      </c>
      <c r="C17" s="20">
        <v>2.0</v>
      </c>
      <c r="D17" s="4">
        <v>30.0</v>
      </c>
      <c r="E17" s="20">
        <f t="shared" si="1"/>
        <v>60</v>
      </c>
      <c r="F17" s="2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6" t="s">
        <v>23</v>
      </c>
      <c r="C18" s="17">
        <v>100.0</v>
      </c>
      <c r="D18" s="18">
        <v>1.0</v>
      </c>
      <c r="E18" s="17">
        <f t="shared" si="1"/>
        <v>100</v>
      </c>
      <c r="F18" s="19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1" t="s">
        <v>24</v>
      </c>
      <c r="C19" s="12">
        <v>380.0</v>
      </c>
      <c r="D19" s="13">
        <v>1.0</v>
      </c>
      <c r="E19" s="12">
        <f t="shared" si="1"/>
        <v>380</v>
      </c>
      <c r="F19" s="24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25" t="s">
        <v>25</v>
      </c>
      <c r="C20" s="26">
        <v>200.0</v>
      </c>
      <c r="D20" s="18">
        <v>1.0</v>
      </c>
      <c r="E20" s="20">
        <f t="shared" si="1"/>
        <v>200</v>
      </c>
      <c r="F20" s="27">
        <f>SUM(E19:E20)</f>
        <v>580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21" t="s">
        <v>26</v>
      </c>
      <c r="C21" s="20">
        <v>60.0</v>
      </c>
      <c r="D21" s="4">
        <v>8.0</v>
      </c>
      <c r="E21" s="12">
        <f t="shared" si="1"/>
        <v>480</v>
      </c>
      <c r="F21" s="28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21" t="s">
        <v>27</v>
      </c>
      <c r="C22" s="20">
        <v>200.0</v>
      </c>
      <c r="D22" s="4">
        <v>1.0</v>
      </c>
      <c r="E22" s="20">
        <f t="shared" si="1"/>
        <v>200</v>
      </c>
      <c r="F22" s="2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6" t="s">
        <v>28</v>
      </c>
      <c r="C23" s="17">
        <v>100.0</v>
      </c>
      <c r="D23" s="18">
        <v>1.0</v>
      </c>
      <c r="E23" s="17">
        <f t="shared" si="1"/>
        <v>100</v>
      </c>
      <c r="F23" s="19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29" t="s">
        <v>29</v>
      </c>
      <c r="C24" s="23">
        <v>100.0</v>
      </c>
      <c r="D24" s="30">
        <v>1.0</v>
      </c>
      <c r="E24" s="17">
        <f t="shared" si="1"/>
        <v>100</v>
      </c>
      <c r="F24" s="28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31" t="s">
        <v>30</v>
      </c>
      <c r="C25" s="32">
        <v>363.82</v>
      </c>
      <c r="D25" s="33">
        <v>1.0</v>
      </c>
      <c r="E25" s="12">
        <f t="shared" si="1"/>
        <v>363.82</v>
      </c>
      <c r="F25" s="2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29" t="s">
        <v>31</v>
      </c>
      <c r="C26" s="23">
        <v>80.0</v>
      </c>
      <c r="D26" s="30">
        <v>1.0</v>
      </c>
      <c r="E26" s="20">
        <f t="shared" si="1"/>
        <v>80</v>
      </c>
      <c r="F26" s="34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29" t="s">
        <v>32</v>
      </c>
      <c r="C27" s="23">
        <v>1000.0</v>
      </c>
      <c r="D27" s="30">
        <v>1.0</v>
      </c>
      <c r="E27" s="20">
        <f t="shared" si="1"/>
        <v>1000</v>
      </c>
      <c r="F27" s="34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29" t="s">
        <v>33</v>
      </c>
      <c r="C28" s="23">
        <v>53.0</v>
      </c>
      <c r="D28" s="30">
        <v>1.0</v>
      </c>
      <c r="E28" s="20">
        <f t="shared" si="1"/>
        <v>53</v>
      </c>
      <c r="F28" s="3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21"/>
      <c r="C29" s="20"/>
      <c r="D29" s="4"/>
      <c r="E29" s="20">
        <f t="shared" si="1"/>
        <v>0</v>
      </c>
      <c r="F29" s="34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21"/>
      <c r="C30" s="20"/>
      <c r="D30" s="4"/>
      <c r="E30" s="20">
        <f t="shared" si="1"/>
        <v>0</v>
      </c>
      <c r="F30" s="35">
        <f>SUM(E25:E33)</f>
        <v>1496.82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21"/>
      <c r="C31" s="20"/>
      <c r="D31" s="4"/>
      <c r="E31" s="20">
        <f t="shared" si="1"/>
        <v>0</v>
      </c>
      <c r="F31" s="2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21"/>
      <c r="C32" s="20"/>
      <c r="D32" s="4"/>
      <c r="E32" s="20">
        <f t="shared" si="1"/>
        <v>0</v>
      </c>
      <c r="F32" s="2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6"/>
      <c r="C33" s="17"/>
      <c r="D33" s="18"/>
      <c r="E33" s="17">
        <f t="shared" si="1"/>
        <v>0</v>
      </c>
      <c r="F33" s="19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1" t="s">
        <v>34</v>
      </c>
      <c r="C34" s="12">
        <v>200.0</v>
      </c>
      <c r="D34" s="13">
        <v>1.0</v>
      </c>
      <c r="E34" s="12">
        <f t="shared" si="1"/>
        <v>200</v>
      </c>
      <c r="F34" s="24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1"/>
      <c r="C35" s="36"/>
      <c r="D35" s="13"/>
      <c r="E35" s="37">
        <f>SUM(E12:E34)</f>
        <v>4830.82</v>
      </c>
      <c r="F35" s="24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21" t="s">
        <v>35</v>
      </c>
      <c r="C36" s="3"/>
      <c r="D36" s="4"/>
      <c r="E36" s="38">
        <v>300.0</v>
      </c>
      <c r="F36" s="34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39" t="s">
        <v>36</v>
      </c>
      <c r="C37" s="40"/>
      <c r="D37" s="18"/>
      <c r="E37" s="41">
        <f>E35+E36</f>
        <v>5130.82</v>
      </c>
      <c r="F37" s="4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3"/>
      <c r="C38" s="3"/>
      <c r="D38" s="4"/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43" t="s">
        <v>37</v>
      </c>
      <c r="C39" s="44"/>
      <c r="D39" s="44"/>
      <c r="E39" s="44"/>
      <c r="F39" s="45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1" t="s">
        <v>38</v>
      </c>
      <c r="C40" s="46">
        <v>75.0</v>
      </c>
      <c r="D40" s="33">
        <v>78.0</v>
      </c>
      <c r="E40" s="12">
        <f t="shared" ref="E40:E41" si="2">C40*D40</f>
        <v>5850</v>
      </c>
      <c r="F40" s="24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21" t="s">
        <v>39</v>
      </c>
      <c r="C41" s="3">
        <v>35.0</v>
      </c>
      <c r="D41" s="30">
        <v>12.0</v>
      </c>
      <c r="E41" s="20">
        <f t="shared" si="2"/>
        <v>420</v>
      </c>
      <c r="F41" s="34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47" t="s">
        <v>40</v>
      </c>
      <c r="C42" s="48"/>
      <c r="D42" s="49"/>
      <c r="E42" s="50">
        <f>SUM(E40:E41)</f>
        <v>6270</v>
      </c>
      <c r="F42" s="5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3"/>
      <c r="C43" s="3"/>
      <c r="D43" s="4"/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3"/>
      <c r="C44" s="3"/>
      <c r="D44" s="52" t="s">
        <v>41</v>
      </c>
      <c r="E44" s="53">
        <f>E42-E37</f>
        <v>1139.18</v>
      </c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B1:F1"/>
    <mergeCell ref="B10:F10"/>
    <mergeCell ref="F12:F13"/>
    <mergeCell ref="F14:F18"/>
    <mergeCell ref="F21:F23"/>
    <mergeCell ref="F30:F33"/>
    <mergeCell ref="B39:F39"/>
  </mergeCells>
  <printOptions/>
  <pageMargins bottom="0.0" footer="0.0" header="0.0" left="0.0" right="0.0" top="0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6" width="11.0"/>
    <col customWidth="1" min="7" max="26" width="8.63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0" footer="0.0" header="0.0" left="0.0" right="0.0" top="0.0"/>
  <pageSetup paperSize="9" orientation="portrait"/>
  <drawing r:id="rId1"/>
</worksheet>
</file>